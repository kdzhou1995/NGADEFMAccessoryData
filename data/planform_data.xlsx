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dzhou\source\repos\NGADEFMAccessoyData\data\"/>
    </mc:Choice>
  </mc:AlternateContent>
  <xr:revisionPtr revIDLastSave="0" documentId="13_ncr:1_{189742A2-BD7C-4CC5-B32B-869D4407056B}" xr6:coauthVersionLast="47" xr6:coauthVersionMax="47" xr10:uidLastSave="{00000000-0000-0000-0000-000000000000}"/>
  <bookViews>
    <workbookView xWindow="24735" yWindow="1890" windowWidth="25665" windowHeight="13500" activeTab="2" xr2:uid="{00000000-000D-0000-FFFF-FFFF00000000}"/>
  </bookViews>
  <sheets>
    <sheet name="Measurements" sheetId="1" r:id="rId1"/>
    <sheet name="BodyPointCoordinates" sheetId="2" r:id="rId2"/>
    <sheet name="AVL Panel Data" sheetId="5" r:id="rId3"/>
    <sheet name="AVL Export Data" sheetId="4" r:id="rId4"/>
    <sheet name="Surface Data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M19" i="1"/>
  <c r="L19" i="1"/>
  <c r="K19" i="1"/>
</calcChain>
</file>

<file path=xl/sharedStrings.xml><?xml version="1.0" encoding="utf-8"?>
<sst xmlns="http://schemas.openxmlformats.org/spreadsheetml/2006/main" count="487" uniqueCount="162">
  <si>
    <t>Method</t>
  </si>
  <si>
    <t>Wing Area</t>
  </si>
  <si>
    <t>Mean Aerodynamic Chord</t>
  </si>
  <si>
    <t>Top-down Slices (5k)</t>
  </si>
  <si>
    <t>Integration</t>
  </si>
  <si>
    <t>Integration, supersonic speed</t>
  </si>
  <si>
    <t>Fixed Wing Parts Only T1</t>
  </si>
  <si>
    <t>Fixed Wing Parts Only T2</t>
  </si>
  <si>
    <t>Fixed Wing Parts Only T0</t>
  </si>
  <si>
    <t>Fixed Wing Parts Only T3</t>
  </si>
  <si>
    <t>Fixed Wing Parts Only T4</t>
  </si>
  <si>
    <t>Fixed Wing Parts Only T5</t>
  </si>
  <si>
    <t>Fixed Wing Parts Only T6</t>
  </si>
  <si>
    <t>Convex Slice Fixed Parts</t>
  </si>
  <si>
    <t>Test Name</t>
  </si>
  <si>
    <t>Convex Slice Fixed Parts + twist and anhedral</t>
  </si>
  <si>
    <t>Convex, twist and anhedral</t>
  </si>
  <si>
    <t>Wing Fixed Portion Outline</t>
  </si>
  <si>
    <t>X (Longitudinal)</t>
  </si>
  <si>
    <t>Y (Height)</t>
  </si>
  <si>
    <t>Z (Span)</t>
  </si>
  <si>
    <t>Wing Fixed Portion - Wingtip Panel</t>
  </si>
  <si>
    <t>Wing Fixed Portion - Wing Center Panel</t>
  </si>
  <si>
    <t>leading wing tip (-1.589, -6.660844)</t>
  </si>
  <si>
    <t>trailing wing tip: (-2.307107, -6.660844)</t>
  </si>
  <si>
    <t>change in slope near wing tip: (-3.072599, -5.852824)</t>
  </si>
  <si>
    <t>aileron trailing tip (-3.110, -5.835)</t>
  </si>
  <si>
    <t>aileron leading tip (-2.387, -5.835)</t>
  </si>
  <si>
    <t>aileron leading root (-2.825, -4.500)</t>
  </si>
  <si>
    <t>flap leading tip (-2.403, -4.500)</t>
  </si>
  <si>
    <t>flap leading edge root (-3.220, -1.991)</t>
  </si>
  <si>
    <t>wing leading edge root (2.891860, -2.067891)</t>
  </si>
  <si>
    <t>leading edge flap leading edge root (2.630, -2.397)</t>
  </si>
  <si>
    <t>leading edge flap root kink: (2.219, -2.397)</t>
  </si>
  <si>
    <t>leading edge flap root : (2.128, -2.315)</t>
  </si>
  <si>
    <t>(481, 803)</t>
  </si>
  <si>
    <t>(210, 1040)</t>
  </si>
  <si>
    <t>Corrected flat</t>
  </si>
  <si>
    <t>Correct flat</t>
  </si>
  <si>
    <t>Corrected twist + anhedral</t>
  </si>
  <si>
    <t>CoL Twist</t>
  </si>
  <si>
    <t>Anhedral</t>
  </si>
  <si>
    <t>Height</t>
  </si>
  <si>
    <t>Body Coords</t>
  </si>
  <si>
    <t>leading inboard point</t>
  </si>
  <si>
    <t>leading outboard point</t>
  </si>
  <si>
    <t>trailing inboard point</t>
  </si>
  <si>
    <t>trailing outboard point</t>
  </si>
  <si>
    <t>Left Aileron</t>
  </si>
  <si>
    <t>Left Flaps</t>
  </si>
  <si>
    <t>trailing inboard kink</t>
  </si>
  <si>
    <t>Leading Edge Flaps Panel 1</t>
  </si>
  <si>
    <t>Leading Edge Flaps Panel 2</t>
  </si>
  <si>
    <t>inboard point</t>
  </si>
  <si>
    <t>Horizontal Stabs Actual</t>
  </si>
  <si>
    <t>Horizontal Stabs Inner Panel</t>
  </si>
  <si>
    <t>Horizontal Stabs Outer Pannel</t>
  </si>
  <si>
    <t>Wing Fixed Portion - Small Convex Panel</t>
  </si>
  <si>
    <t>Wing Fixed Portion - Inner Wing Root Sliver Panel</t>
  </si>
  <si>
    <t>Wing Fixed Portion - Wing Root Trap Panel</t>
  </si>
  <si>
    <t>Wing Fixed Portion - Inner Slice Thin Panel</t>
  </si>
  <si>
    <t>Wing Fixed Portion - Wing Inner Trap Panel</t>
  </si>
  <si>
    <t>Left Flaps Inboard Panel</t>
  </si>
  <si>
    <t>Left Flaps Outboard Panel</t>
  </si>
  <si>
    <t>Left Wing Fixed</t>
  </si>
  <si>
    <t>Left Flap</t>
  </si>
  <si>
    <t>panelized</t>
  </si>
  <si>
    <t>Center of Lift/Pressure (X)</t>
  </si>
  <si>
    <t>LE root point:</t>
  </si>
  <si>
    <t>LE tip point:</t>
  </si>
  <si>
    <t>TE tip point:</t>
  </si>
  <si>
    <t>TE kink:</t>
  </si>
  <si>
    <t>TE root point:</t>
  </si>
  <si>
    <t>leading edge root point:</t>
  </si>
  <si>
    <t>leading edge outboard point:</t>
  </si>
  <si>
    <t>trailing edge outboard point:</t>
  </si>
  <si>
    <t>trailing edge root point:</t>
  </si>
  <si>
    <t>leading edge inboard point:</t>
  </si>
  <si>
    <t>leading edge tip point:</t>
  </si>
  <si>
    <t>trailing edge tip point:</t>
  </si>
  <si>
    <t>trailing edge inboard point:</t>
  </si>
  <si>
    <t>Horizontal Stabilizer</t>
  </si>
  <si>
    <t>Leading Edge Flaps</t>
  </si>
  <si>
    <t>vertical stab coordinates</t>
  </si>
  <si>
    <t>vertical rudder coordinates</t>
  </si>
  <si>
    <t>leading edge top point:</t>
  </si>
  <si>
    <t>leading edge bottom point:</t>
  </si>
  <si>
    <t>trailing edge top point:</t>
  </si>
  <si>
    <t>trailing edge bottom point:</t>
  </si>
  <si>
    <t>vertical stab fixed panel 1</t>
  </si>
  <si>
    <t>vertical stab fixed panel 2</t>
  </si>
  <si>
    <t>Vertical Stabilizer</t>
  </si>
  <si>
    <t>Rudders</t>
  </si>
  <si>
    <t>trailing edge inboard point</t>
  </si>
  <si>
    <t>leading edge inboard point</t>
  </si>
  <si>
    <t>leading edge outboard point</t>
  </si>
  <si>
    <t>trailing edge outboard point</t>
  </si>
  <si>
    <t>Fixed Wing Area Data</t>
  </si>
  <si>
    <t>span (one wing)</t>
  </si>
  <si>
    <t>aspect ratio</t>
  </si>
  <si>
    <t>wing lift curve slope</t>
  </si>
  <si>
    <t>Aileron Data</t>
  </si>
  <si>
    <t>aileron lift curve slope</t>
  </si>
  <si>
    <t>Left Flap Data</t>
  </si>
  <si>
    <t>lift curve slope</t>
  </si>
  <si>
    <t>Leading Edge Flap Data</t>
  </si>
  <si>
    <t>Elevator/Horizontal Stab Data</t>
  </si>
  <si>
    <t>Rudder Data</t>
  </si>
  <si>
    <t>Fixed Stabilizer Data</t>
  </si>
  <si>
    <t>Actual</t>
  </si>
  <si>
    <t>Projected</t>
  </si>
  <si>
    <t>leading inboard kink</t>
  </si>
  <si>
    <t>chord length</t>
  </si>
  <si>
    <t>twist angle</t>
  </si>
  <si>
    <t>X</t>
  </si>
  <si>
    <t>Y</t>
  </si>
  <si>
    <t>Z</t>
  </si>
  <si>
    <t>Span 3 (moving left)</t>
  </si>
  <si>
    <t>Span 4 (moving left)</t>
  </si>
  <si>
    <t>Span 5 (moving left)</t>
  </si>
  <si>
    <t>Span 6 (wing tip)</t>
  </si>
  <si>
    <t>Flaps Hinge</t>
  </si>
  <si>
    <t>Aileron Hinge</t>
  </si>
  <si>
    <t>Leading Edge Flaps Hinge</t>
  </si>
  <si>
    <t>Inboard Hinge Point</t>
  </si>
  <si>
    <t>Outboard Hinge Point</t>
  </si>
  <si>
    <t>Full Wing Outline</t>
  </si>
  <si>
    <t>Span 0 (Wing root)</t>
  </si>
  <si>
    <t>Span 1</t>
  </si>
  <si>
    <t>Span 2 (moving left)</t>
  </si>
  <si>
    <t>leading edge end of LERX</t>
  </si>
  <si>
    <t>leading edge wingtip</t>
  </si>
  <si>
    <t>trailing edge wingtip</t>
  </si>
  <si>
    <t>trailing edge kink</t>
  </si>
  <si>
    <t>trailing edge inboard kink</t>
  </si>
  <si>
    <t>trialing edge root</t>
  </si>
  <si>
    <t>leading edge LERX point</t>
  </si>
  <si>
    <t>MAC for one wing</t>
  </si>
  <si>
    <t>reference span</t>
  </si>
  <si>
    <t>reference wing area</t>
  </si>
  <si>
    <t>Chord Fraction</t>
  </si>
  <si>
    <t>Span 3.1 (moving left)</t>
  </si>
  <si>
    <t>Span 3.2 (moving left)</t>
  </si>
  <si>
    <t xml:space="preserve">leading edge </t>
  </si>
  <si>
    <t xml:space="preserve">trailing edge </t>
  </si>
  <si>
    <t>Span 4.1 (moving left)</t>
  </si>
  <si>
    <t>Span 4.2 (moving left)</t>
  </si>
  <si>
    <t>Span 5.1 (moving left)</t>
  </si>
  <si>
    <t>Span 5.2 (moving left)</t>
  </si>
  <si>
    <t>Span 3.3 (moving left)</t>
  </si>
  <si>
    <t>Name</t>
  </si>
  <si>
    <t>LE-X</t>
  </si>
  <si>
    <t>LE-Y</t>
  </si>
  <si>
    <t>LE-Z</t>
  </si>
  <si>
    <t>TE-X</t>
  </si>
  <si>
    <t>TE-Y</t>
  </si>
  <si>
    <t>TE-Z</t>
  </si>
  <si>
    <t>root</t>
  </si>
  <si>
    <t>tip</t>
  </si>
  <si>
    <t>Chord Length</t>
  </si>
  <si>
    <t>Twist Degrees</t>
  </si>
  <si>
    <t>SpanId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</si>
</sst>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workbookViewId="0">
      <selection activeCell="D4" sqref="D4"/>
    </sheetView>
  </sheetViews>
  <sheetFormatPr defaultRowHeight="15" x14ac:dyDescent="0.25"/>
  <cols>
    <col min="1" max="1" width="41.5703125" bestFit="1" customWidth="1"/>
    <col min="2" max="2" width="27.85546875" customWidth="1"/>
    <col min="3" max="3" width="12" bestFit="1" customWidth="1"/>
    <col min="4" max="4" width="24.42578125" bestFit="1" customWidth="1"/>
    <col min="5" max="5" width="24.5703125" bestFit="1" customWidth="1"/>
    <col min="6" max="6" width="22" bestFit="1" customWidth="1"/>
    <col min="7" max="7" width="21.85546875" bestFit="1" customWidth="1"/>
    <col min="8" max="8" width="9.28515625" bestFit="1" customWidth="1"/>
    <col min="10" max="12" width="7" bestFit="1" customWidth="1"/>
    <col min="13" max="13" width="7.7109375" bestFit="1" customWidth="1"/>
  </cols>
  <sheetData>
    <row r="1" spans="1:13" x14ac:dyDescent="0.25">
      <c r="A1" s="1" t="s">
        <v>64</v>
      </c>
    </row>
    <row r="2" spans="1:13" x14ac:dyDescent="0.25">
      <c r="A2" s="1" t="s">
        <v>0</v>
      </c>
      <c r="B2" s="1" t="s">
        <v>14</v>
      </c>
      <c r="C2" s="1" t="s">
        <v>1</v>
      </c>
      <c r="D2" s="1" t="s">
        <v>2</v>
      </c>
      <c r="E2" s="1" t="s">
        <v>67</v>
      </c>
      <c r="F2" s="1" t="s">
        <v>67</v>
      </c>
      <c r="G2" s="1" t="s">
        <v>67</v>
      </c>
      <c r="H2" s="1" t="s">
        <v>40</v>
      </c>
      <c r="I2" s="1" t="s">
        <v>41</v>
      </c>
      <c r="J2" s="1" t="s">
        <v>42</v>
      </c>
      <c r="K2" s="4" t="s">
        <v>43</v>
      </c>
      <c r="L2" s="4"/>
      <c r="M2" s="4"/>
    </row>
    <row r="3" spans="1:13" x14ac:dyDescent="0.25">
      <c r="A3" t="s">
        <v>3</v>
      </c>
      <c r="B3" t="s">
        <v>3</v>
      </c>
      <c r="E3">
        <v>0.378</v>
      </c>
      <c r="G3">
        <v>-3.532</v>
      </c>
    </row>
    <row r="4" spans="1:13" x14ac:dyDescent="0.25">
      <c r="A4" t="s">
        <v>3</v>
      </c>
      <c r="B4" t="s">
        <v>3</v>
      </c>
      <c r="D4">
        <v>4.9568000000000003</v>
      </c>
      <c r="E4">
        <v>0.36180000000000001</v>
      </c>
      <c r="G4">
        <v>-3.5167000000000002</v>
      </c>
    </row>
    <row r="5" spans="1:13" x14ac:dyDescent="0.25">
      <c r="A5" t="s">
        <v>4</v>
      </c>
      <c r="B5" t="s">
        <v>4</v>
      </c>
      <c r="E5">
        <v>0.362981</v>
      </c>
      <c r="G5">
        <v>-3.5319919999999998</v>
      </c>
    </row>
    <row r="6" spans="1:13" x14ac:dyDescent="0.25">
      <c r="B6" t="s">
        <v>5</v>
      </c>
      <c r="E6">
        <v>0.87843899999999997</v>
      </c>
      <c r="G6">
        <v>-3.5319919999999998</v>
      </c>
    </row>
    <row r="8" spans="1:13" x14ac:dyDescent="0.25">
      <c r="A8" t="s">
        <v>8</v>
      </c>
      <c r="B8" t="s">
        <v>8</v>
      </c>
      <c r="C8">
        <v>14.63</v>
      </c>
      <c r="D8">
        <v>4.9992000000000001</v>
      </c>
      <c r="E8">
        <v>0.39450000000000002</v>
      </c>
      <c r="G8">
        <v>-3.4865699999999999</v>
      </c>
    </row>
    <row r="9" spans="1:13" x14ac:dyDescent="0.25">
      <c r="B9" t="s">
        <v>6</v>
      </c>
      <c r="C9">
        <v>14.63</v>
      </c>
      <c r="D9">
        <v>3.7341000000000002</v>
      </c>
      <c r="E9">
        <v>0.41339999999999999</v>
      </c>
      <c r="G9">
        <v>-3.3437999999999999</v>
      </c>
    </row>
    <row r="10" spans="1:13" x14ac:dyDescent="0.25">
      <c r="B10" t="s">
        <v>7</v>
      </c>
      <c r="C10">
        <v>14.63</v>
      </c>
      <c r="D10">
        <v>3.7303000000000002</v>
      </c>
      <c r="E10">
        <v>0.41460000000000002</v>
      </c>
      <c r="G10">
        <v>-3.364331</v>
      </c>
    </row>
    <row r="11" spans="1:13" x14ac:dyDescent="0.25">
      <c r="B11" t="s">
        <v>9</v>
      </c>
      <c r="C11">
        <v>14.996499999999999</v>
      </c>
      <c r="D11">
        <v>3.8182</v>
      </c>
      <c r="E11">
        <v>0.47270000000000001</v>
      </c>
      <c r="G11">
        <v>-3.3498999999999999</v>
      </c>
    </row>
    <row r="12" spans="1:13" x14ac:dyDescent="0.25">
      <c r="B12" t="s">
        <v>10</v>
      </c>
      <c r="C12">
        <v>14.630800000000001</v>
      </c>
      <c r="D12">
        <v>3.7342</v>
      </c>
      <c r="E12">
        <v>0.41349999999999998</v>
      </c>
      <c r="G12">
        <v>-3.3437000000000001</v>
      </c>
    </row>
    <row r="13" spans="1:13" x14ac:dyDescent="0.25">
      <c r="B13" t="s">
        <v>11</v>
      </c>
      <c r="C13">
        <v>15.144</v>
      </c>
      <c r="D13">
        <v>3.7262</v>
      </c>
      <c r="E13">
        <v>0.37590000000000001</v>
      </c>
      <c r="G13">
        <v>-3.4297</v>
      </c>
    </row>
    <row r="14" spans="1:13" x14ac:dyDescent="0.25">
      <c r="B14" t="s">
        <v>12</v>
      </c>
      <c r="C14">
        <v>14.653499999999999</v>
      </c>
      <c r="D14">
        <v>3.7368000000000001</v>
      </c>
      <c r="E14">
        <v>0.41649999999999998</v>
      </c>
      <c r="G14">
        <v>-3.3411</v>
      </c>
    </row>
    <row r="15" spans="1:13" x14ac:dyDescent="0.25">
      <c r="A15" t="s">
        <v>13</v>
      </c>
      <c r="B15" t="s">
        <v>13</v>
      </c>
      <c r="C15">
        <v>13.79</v>
      </c>
      <c r="D15">
        <v>3.21</v>
      </c>
      <c r="E15">
        <v>-0.24</v>
      </c>
      <c r="G15">
        <v>-4.2699999999999996</v>
      </c>
    </row>
    <row r="16" spans="1:13" x14ac:dyDescent="0.25">
      <c r="B16" t="s">
        <v>13</v>
      </c>
      <c r="C16">
        <v>14.930028</v>
      </c>
      <c r="D16">
        <v>3.7951039999999998</v>
      </c>
      <c r="E16">
        <v>0.48214600000000002</v>
      </c>
      <c r="G16">
        <v>-3.2973479999999999</v>
      </c>
    </row>
    <row r="17" spans="1:13" x14ac:dyDescent="0.25">
      <c r="A17" t="s">
        <v>15</v>
      </c>
      <c r="B17" t="s">
        <v>16</v>
      </c>
      <c r="C17">
        <v>14.930099999999999</v>
      </c>
      <c r="D17">
        <v>3.7951000000000001</v>
      </c>
      <c r="E17">
        <v>0.47910000000000003</v>
      </c>
      <c r="G17">
        <v>-3.2951000000000001</v>
      </c>
    </row>
    <row r="18" spans="1:13" x14ac:dyDescent="0.25">
      <c r="A18" t="s">
        <v>37</v>
      </c>
      <c r="B18" t="s">
        <v>38</v>
      </c>
      <c r="C18">
        <v>15.048562639929999</v>
      </c>
      <c r="D18">
        <v>3.7860999999999998</v>
      </c>
      <c r="E18">
        <v>0.47360000000000002</v>
      </c>
      <c r="G18">
        <v>-3.3142</v>
      </c>
    </row>
    <row r="19" spans="1:13" x14ac:dyDescent="0.25">
      <c r="A19" t="s">
        <v>39</v>
      </c>
      <c r="B19" t="s">
        <v>39</v>
      </c>
      <c r="C19">
        <v>15.048562639929999</v>
      </c>
      <c r="D19">
        <v>3.7860999999999998</v>
      </c>
      <c r="E19">
        <v>0.4713</v>
      </c>
      <c r="F19">
        <v>0.28999999999999998</v>
      </c>
      <c r="G19">
        <v>-3.2547999999999999</v>
      </c>
      <c r="H19">
        <v>-1.2911999999999999</v>
      </c>
      <c r="I19">
        <v>-2.7551199999999998</v>
      </c>
      <c r="J19">
        <v>0.28999999999999998</v>
      </c>
      <c r="K19">
        <f>E19</f>
        <v>0.4713</v>
      </c>
      <c r="L19">
        <f>J19</f>
        <v>0.28999999999999998</v>
      </c>
      <c r="M19">
        <f>G19</f>
        <v>-3.2547999999999999</v>
      </c>
    </row>
    <row r="20" spans="1:13" x14ac:dyDescent="0.25">
      <c r="A20" t="s">
        <v>39</v>
      </c>
      <c r="B20" t="s">
        <v>39</v>
      </c>
      <c r="C20">
        <v>14.924300000000001</v>
      </c>
      <c r="D20">
        <v>3.7938999999999998</v>
      </c>
      <c r="E20">
        <v>0.48010000000000003</v>
      </c>
      <c r="F20">
        <v>0.29380000000000001</v>
      </c>
      <c r="G20">
        <v>-3.2978000000000001</v>
      </c>
      <c r="H20">
        <v>-1.2796000000000001</v>
      </c>
      <c r="I20">
        <v>-2.7551199999999998</v>
      </c>
      <c r="J20">
        <v>0.29380000000000001</v>
      </c>
      <c r="K20">
        <v>0.4778</v>
      </c>
      <c r="L20">
        <v>0.29380000000000001</v>
      </c>
      <c r="M20">
        <v>-3.2936999999999999</v>
      </c>
    </row>
    <row r="22" spans="1:13" x14ac:dyDescent="0.25">
      <c r="A22" s="1" t="s">
        <v>65</v>
      </c>
      <c r="B22" t="s">
        <v>66</v>
      </c>
      <c r="C22">
        <v>2.5268999999999999</v>
      </c>
      <c r="D22">
        <v>1.1072</v>
      </c>
      <c r="E22">
        <v>-3.0154000000000001</v>
      </c>
      <c r="G22">
        <v>-3.4693000000000001</v>
      </c>
      <c r="H22">
        <v>-1.2911999999999999</v>
      </c>
      <c r="I22">
        <v>-2.7551199999999998</v>
      </c>
      <c r="J22">
        <v>0.29380000000000001</v>
      </c>
    </row>
    <row r="23" spans="1:13" x14ac:dyDescent="0.25">
      <c r="A23" s="1" t="s">
        <v>48</v>
      </c>
      <c r="B23" t="s">
        <v>66</v>
      </c>
      <c r="C23">
        <v>0.98080000000000001</v>
      </c>
      <c r="D23">
        <v>0.73509999999999998</v>
      </c>
      <c r="E23">
        <v>-2.7921999999999998</v>
      </c>
      <c r="G23">
        <v>-5.1647999999999996</v>
      </c>
      <c r="H23">
        <v>-1.2796000000000001</v>
      </c>
      <c r="I23">
        <v>-2.7551199999999998</v>
      </c>
      <c r="J23">
        <v>0.29380000000000001</v>
      </c>
    </row>
    <row r="24" spans="1:13" x14ac:dyDescent="0.25">
      <c r="A24" s="1" t="s">
        <v>82</v>
      </c>
      <c r="B24" t="s">
        <v>66</v>
      </c>
      <c r="C24">
        <v>2.1602999999999999</v>
      </c>
      <c r="D24">
        <v>0.505</v>
      </c>
      <c r="E24">
        <v>0.71499999999999997</v>
      </c>
      <c r="G24">
        <v>-4.4123000000000001</v>
      </c>
      <c r="H24">
        <v>-1.2911999999999999</v>
      </c>
      <c r="I24">
        <v>-2.7551199999999998</v>
      </c>
      <c r="J24">
        <v>0.29380000000000001</v>
      </c>
    </row>
    <row r="25" spans="1:13" x14ac:dyDescent="0.25">
      <c r="A25" s="1" t="s">
        <v>81</v>
      </c>
      <c r="B25" t="s">
        <v>66</v>
      </c>
      <c r="C25">
        <v>6.3440000000000003</v>
      </c>
      <c r="D25">
        <v>2.7787000000000002</v>
      </c>
      <c r="E25">
        <v>-5.056</v>
      </c>
      <c r="G25">
        <v>-2.8881999999999999</v>
      </c>
      <c r="H25">
        <v>0</v>
      </c>
      <c r="I25">
        <v>0</v>
      </c>
      <c r="J25">
        <v>0.29380000000000001</v>
      </c>
    </row>
    <row r="26" spans="1:13" x14ac:dyDescent="0.25">
      <c r="A26" s="1" t="s">
        <v>91</v>
      </c>
      <c r="B26" t="s">
        <v>66</v>
      </c>
      <c r="C26">
        <v>6.3189700000000002</v>
      </c>
      <c r="D26">
        <v>2.4845100000000002</v>
      </c>
      <c r="E26">
        <v>-2.42848</v>
      </c>
      <c r="F26">
        <v>1.9174</v>
      </c>
      <c r="G26">
        <v>-1.8784099999999999</v>
      </c>
      <c r="H26">
        <v>0</v>
      </c>
      <c r="I26">
        <v>0</v>
      </c>
      <c r="J26">
        <v>0</v>
      </c>
    </row>
    <row r="27" spans="1:13" x14ac:dyDescent="0.25">
      <c r="A27" s="1" t="s">
        <v>92</v>
      </c>
      <c r="B27" t="s">
        <v>66</v>
      </c>
      <c r="C27">
        <v>2.5777999999999999</v>
      </c>
      <c r="D27">
        <v>0.90859999999999996</v>
      </c>
      <c r="E27">
        <v>-4.4507000000000003</v>
      </c>
      <c r="F27">
        <v>1.9174</v>
      </c>
      <c r="G27">
        <v>-2.3325</v>
      </c>
      <c r="H27">
        <v>0</v>
      </c>
      <c r="I27">
        <v>0</v>
      </c>
      <c r="J27">
        <v>0</v>
      </c>
    </row>
  </sheetData>
  <mergeCells count="1">
    <mergeCell ref="K2:M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4624-8254-432F-B2B3-DE573CB9E329}">
  <dimension ref="A1:F141"/>
  <sheetViews>
    <sheetView zoomScale="115" zoomScaleNormal="115" workbookViewId="0">
      <selection activeCell="A137" sqref="A137:D141"/>
    </sheetView>
  </sheetViews>
  <sheetFormatPr defaultRowHeight="15" x14ac:dyDescent="0.25"/>
  <cols>
    <col min="1" max="1" width="55.7109375" bestFit="1" customWidth="1"/>
    <col min="2" max="2" width="15.140625" bestFit="1" customWidth="1"/>
    <col min="3" max="3" width="9.85546875" bestFit="1" customWidth="1"/>
    <col min="4" max="4" width="10.7109375" bestFit="1" customWidth="1"/>
    <col min="6" max="6" width="23.42578125" bestFit="1" customWidth="1"/>
  </cols>
  <sheetData>
    <row r="1" spans="1:6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6" x14ac:dyDescent="0.25">
      <c r="A2" t="s">
        <v>23</v>
      </c>
      <c r="B2">
        <v>-1.124943</v>
      </c>
      <c r="D2">
        <v>-6.660844</v>
      </c>
      <c r="F2" t="s">
        <v>36</v>
      </c>
    </row>
    <row r="3" spans="1:6" x14ac:dyDescent="0.25">
      <c r="A3" t="s">
        <v>24</v>
      </c>
      <c r="B3">
        <v>-2.3071069999999998</v>
      </c>
      <c r="D3">
        <v>-6.660844</v>
      </c>
    </row>
    <row r="4" spans="1:6" x14ac:dyDescent="0.25">
      <c r="A4" t="s">
        <v>25</v>
      </c>
      <c r="B4">
        <v>-3.0725989999999999</v>
      </c>
      <c r="D4">
        <v>-5.852824</v>
      </c>
    </row>
    <row r="5" spans="1:6" x14ac:dyDescent="0.25">
      <c r="A5" t="s">
        <v>26</v>
      </c>
      <c r="B5">
        <v>-3.11</v>
      </c>
      <c r="D5">
        <v>-5.835</v>
      </c>
    </row>
    <row r="6" spans="1:6" x14ac:dyDescent="0.25">
      <c r="A6" t="s">
        <v>27</v>
      </c>
      <c r="B6">
        <v>-2.387</v>
      </c>
      <c r="D6">
        <v>-5.835</v>
      </c>
    </row>
    <row r="7" spans="1:6" x14ac:dyDescent="0.25">
      <c r="A7" t="s">
        <v>28</v>
      </c>
      <c r="B7">
        <v>-2.8250000000000002</v>
      </c>
      <c r="D7">
        <v>-4.5</v>
      </c>
    </row>
    <row r="8" spans="1:6" x14ac:dyDescent="0.25">
      <c r="A8" t="s">
        <v>29</v>
      </c>
      <c r="B8">
        <v>-2.403</v>
      </c>
      <c r="D8">
        <v>-4.5</v>
      </c>
    </row>
    <row r="9" spans="1:6" x14ac:dyDescent="0.25">
      <c r="A9" t="s">
        <v>30</v>
      </c>
      <c r="B9">
        <v>-3.22</v>
      </c>
      <c r="D9">
        <v>-1.9910000000000001</v>
      </c>
    </row>
    <row r="10" spans="1:6" x14ac:dyDescent="0.25">
      <c r="A10" t="s">
        <v>31</v>
      </c>
      <c r="B10">
        <v>2.8918599999999999</v>
      </c>
      <c r="D10">
        <v>-2.0678909999999999</v>
      </c>
      <c r="F10" t="s">
        <v>35</v>
      </c>
    </row>
    <row r="11" spans="1:6" x14ac:dyDescent="0.25">
      <c r="A11" t="s">
        <v>32</v>
      </c>
      <c r="B11">
        <v>2.63</v>
      </c>
      <c r="D11">
        <v>-2.3969999999999998</v>
      </c>
    </row>
    <row r="12" spans="1:6" x14ac:dyDescent="0.25">
      <c r="A12" t="s">
        <v>33</v>
      </c>
      <c r="B12">
        <v>2.2189999999999999</v>
      </c>
      <c r="D12">
        <v>-2.3969999999999998</v>
      </c>
    </row>
    <row r="13" spans="1:6" x14ac:dyDescent="0.25">
      <c r="A13" t="s">
        <v>34</v>
      </c>
      <c r="B13">
        <v>2.1280000000000001</v>
      </c>
      <c r="D13">
        <v>-2.3149999999999999</v>
      </c>
    </row>
    <row r="15" spans="1:6" x14ac:dyDescent="0.25">
      <c r="A15" s="1" t="s">
        <v>21</v>
      </c>
      <c r="B15" s="1" t="s">
        <v>18</v>
      </c>
      <c r="C15" s="1" t="s">
        <v>19</v>
      </c>
      <c r="D15" s="1" t="s">
        <v>20</v>
      </c>
    </row>
    <row r="16" spans="1:6" x14ac:dyDescent="0.25">
      <c r="A16" t="s">
        <v>93</v>
      </c>
      <c r="B16">
        <v>-3.1133999999999999</v>
      </c>
      <c r="D16">
        <v>-5.835</v>
      </c>
    </row>
    <row r="17" spans="1:4" x14ac:dyDescent="0.25">
      <c r="A17" t="s">
        <v>94</v>
      </c>
      <c r="B17">
        <v>-0.882656</v>
      </c>
      <c r="D17">
        <v>-5.835</v>
      </c>
    </row>
    <row r="18" spans="1:4" x14ac:dyDescent="0.25">
      <c r="A18" t="s">
        <v>95</v>
      </c>
      <c r="B18">
        <v>-1.589</v>
      </c>
      <c r="D18">
        <v>-6.6608400000000003</v>
      </c>
    </row>
    <row r="19" spans="1:4" x14ac:dyDescent="0.25">
      <c r="A19" t="s">
        <v>96</v>
      </c>
      <c r="B19">
        <v>-2.3071100000000002</v>
      </c>
      <c r="D19">
        <v>-6.6608400000000003</v>
      </c>
    </row>
    <row r="21" spans="1:4" x14ac:dyDescent="0.25">
      <c r="A21" s="1" t="s">
        <v>22</v>
      </c>
      <c r="B21" s="1" t="s">
        <v>18</v>
      </c>
      <c r="C21" s="1" t="s">
        <v>19</v>
      </c>
      <c r="D21" s="1" t="s">
        <v>20</v>
      </c>
    </row>
    <row r="22" spans="1:4" x14ac:dyDescent="0.25">
      <c r="A22" t="s">
        <v>93</v>
      </c>
      <c r="B22">
        <v>-2.8250000000000002</v>
      </c>
      <c r="D22">
        <v>-4.5</v>
      </c>
    </row>
    <row r="23" spans="1:4" x14ac:dyDescent="0.25">
      <c r="A23" t="s">
        <v>94</v>
      </c>
      <c r="B23">
        <v>0.25917000000000001</v>
      </c>
      <c r="D23">
        <v>-4.5</v>
      </c>
    </row>
    <row r="24" spans="1:4" x14ac:dyDescent="0.25">
      <c r="A24" t="s">
        <v>95</v>
      </c>
      <c r="B24">
        <v>-0.882656</v>
      </c>
      <c r="D24">
        <v>-5.835</v>
      </c>
    </row>
    <row r="25" spans="1:4" x14ac:dyDescent="0.25">
      <c r="A25" t="s">
        <v>96</v>
      </c>
      <c r="B25">
        <v>-2.387</v>
      </c>
      <c r="D25">
        <v>-5.835</v>
      </c>
    </row>
    <row r="27" spans="1:4" x14ac:dyDescent="0.25">
      <c r="A27" s="1" t="s">
        <v>61</v>
      </c>
      <c r="B27" s="1" t="s">
        <v>18</v>
      </c>
      <c r="C27" s="1" t="s">
        <v>19</v>
      </c>
      <c r="D27" s="1" t="s">
        <v>20</v>
      </c>
    </row>
    <row r="28" spans="1:4" x14ac:dyDescent="0.25">
      <c r="A28" t="s">
        <v>94</v>
      </c>
      <c r="B28">
        <v>2.0578699999999999</v>
      </c>
      <c r="D28">
        <v>-2.3969999999999998</v>
      </c>
    </row>
    <row r="29" spans="1:4" x14ac:dyDescent="0.25">
      <c r="A29" t="s">
        <v>95</v>
      </c>
      <c r="B29">
        <v>0.25917000000000001</v>
      </c>
      <c r="D29">
        <v>-4.5</v>
      </c>
    </row>
    <row r="30" spans="1:4" x14ac:dyDescent="0.25">
      <c r="A30" t="s">
        <v>96</v>
      </c>
      <c r="B30">
        <v>-2.403</v>
      </c>
      <c r="D30">
        <v>-4.5</v>
      </c>
    </row>
    <row r="31" spans="1:4" x14ac:dyDescent="0.25">
      <c r="A31" t="s">
        <v>93</v>
      </c>
      <c r="B31">
        <v>-3.0878000000000001</v>
      </c>
      <c r="D31">
        <v>-2.3969999999999998</v>
      </c>
    </row>
    <row r="33" spans="1:4" x14ac:dyDescent="0.25">
      <c r="A33" s="1" t="s">
        <v>60</v>
      </c>
      <c r="B33" s="1" t="s">
        <v>18</v>
      </c>
      <c r="C33" s="1" t="s">
        <v>19</v>
      </c>
      <c r="D33" s="1" t="s">
        <v>20</v>
      </c>
    </row>
    <row r="34" spans="1:4" x14ac:dyDescent="0.25">
      <c r="A34" t="s">
        <v>94</v>
      </c>
      <c r="B34">
        <v>2.1280000000000001</v>
      </c>
      <c r="D34">
        <v>-2.3149999999999999</v>
      </c>
    </row>
    <row r="35" spans="1:4" x14ac:dyDescent="0.25">
      <c r="A35" t="s">
        <v>95</v>
      </c>
      <c r="B35">
        <v>2.0578699999999999</v>
      </c>
      <c r="D35">
        <v>-2.3969999999999998</v>
      </c>
    </row>
    <row r="36" spans="1:4" x14ac:dyDescent="0.25">
      <c r="A36" t="s">
        <v>96</v>
      </c>
      <c r="B36">
        <v>-3.0878000000000001</v>
      </c>
      <c r="D36">
        <v>-2.3969999999999998</v>
      </c>
    </row>
    <row r="37" spans="1:4" x14ac:dyDescent="0.25">
      <c r="A37" t="s">
        <v>93</v>
      </c>
      <c r="B37">
        <v>-3.1145</v>
      </c>
      <c r="D37">
        <v>-2.3149999999999999</v>
      </c>
    </row>
    <row r="39" spans="1:4" x14ac:dyDescent="0.25">
      <c r="A39" s="1" t="s">
        <v>59</v>
      </c>
      <c r="B39" s="1" t="s">
        <v>18</v>
      </c>
      <c r="C39" s="1" t="s">
        <v>19</v>
      </c>
      <c r="D39" s="1" t="s">
        <v>20</v>
      </c>
    </row>
    <row r="40" spans="1:4" x14ac:dyDescent="0.25">
      <c r="A40" t="s">
        <v>94</v>
      </c>
      <c r="B40">
        <v>2.8918599999999999</v>
      </c>
      <c r="D40">
        <v>-2.0678899999999998</v>
      </c>
    </row>
    <row r="41" spans="1:4" x14ac:dyDescent="0.25">
      <c r="A41" t="s">
        <v>95</v>
      </c>
      <c r="B41">
        <v>2.6757499999999999</v>
      </c>
      <c r="D41">
        <v>-2.3149999999999999</v>
      </c>
    </row>
    <row r="42" spans="1:4" x14ac:dyDescent="0.25">
      <c r="A42" t="s">
        <v>96</v>
      </c>
      <c r="B42">
        <v>-3.1145</v>
      </c>
      <c r="D42">
        <v>-2.3149999999999999</v>
      </c>
    </row>
    <row r="43" spans="1:4" x14ac:dyDescent="0.25">
      <c r="A43" t="s">
        <v>93</v>
      </c>
      <c r="B43">
        <v>-3.19496</v>
      </c>
      <c r="D43">
        <v>-2.0678899999999998</v>
      </c>
    </row>
    <row r="45" spans="1:4" x14ac:dyDescent="0.25">
      <c r="A45" s="1" t="s">
        <v>58</v>
      </c>
      <c r="B45" s="1" t="s">
        <v>18</v>
      </c>
      <c r="C45" s="1" t="s">
        <v>19</v>
      </c>
      <c r="D45" s="1" t="s">
        <v>20</v>
      </c>
    </row>
    <row r="46" spans="1:4" x14ac:dyDescent="0.25">
      <c r="A46" t="s">
        <v>94</v>
      </c>
      <c r="B46">
        <v>3.7569900000000001</v>
      </c>
      <c r="D46">
        <v>-1.9910000000000001</v>
      </c>
    </row>
    <row r="47" spans="1:4" x14ac:dyDescent="0.25">
      <c r="A47" t="s">
        <v>95</v>
      </c>
      <c r="B47">
        <v>2.8918599999999999</v>
      </c>
      <c r="D47">
        <v>-2.0678899999999998</v>
      </c>
    </row>
    <row r="48" spans="1:4" x14ac:dyDescent="0.25">
      <c r="A48" t="s">
        <v>96</v>
      </c>
      <c r="B48">
        <v>-3.19496</v>
      </c>
      <c r="D48">
        <v>-2.0678899999999998</v>
      </c>
    </row>
    <row r="49" spans="1:4" x14ac:dyDescent="0.25">
      <c r="A49" t="s">
        <v>93</v>
      </c>
      <c r="B49">
        <v>-3.22</v>
      </c>
      <c r="D49">
        <v>-1.9910000000000001</v>
      </c>
    </row>
    <row r="51" spans="1:4" x14ac:dyDescent="0.25">
      <c r="A51" s="1" t="s">
        <v>57</v>
      </c>
      <c r="B51" s="1" t="s">
        <v>18</v>
      </c>
      <c r="C51" s="1" t="s">
        <v>19</v>
      </c>
      <c r="D51" s="1" t="s">
        <v>20</v>
      </c>
    </row>
    <row r="52" spans="1:4" x14ac:dyDescent="0.25">
      <c r="A52" t="s">
        <v>94</v>
      </c>
      <c r="B52">
        <v>2.6757499999999999</v>
      </c>
      <c r="D52">
        <v>-2.3149999999999999</v>
      </c>
    </row>
    <row r="53" spans="1:4" x14ac:dyDescent="0.25">
      <c r="A53" t="s">
        <v>95</v>
      </c>
      <c r="B53">
        <v>2.6040299999999998</v>
      </c>
      <c r="D53">
        <v>-2.3969999999999998</v>
      </c>
    </row>
    <row r="54" spans="1:4" x14ac:dyDescent="0.25">
      <c r="A54" t="s">
        <v>96</v>
      </c>
      <c r="B54">
        <v>2.2189999999999999</v>
      </c>
      <c r="D54">
        <v>-2.3969999999999998</v>
      </c>
    </row>
    <row r="55" spans="1:4" x14ac:dyDescent="0.25">
      <c r="A55" t="s">
        <v>93</v>
      </c>
      <c r="B55">
        <v>2.1280000000000001</v>
      </c>
      <c r="D55">
        <v>-2.3149999999999999</v>
      </c>
    </row>
    <row r="57" spans="1:4" x14ac:dyDescent="0.25">
      <c r="A57" s="1" t="s">
        <v>48</v>
      </c>
      <c r="B57" s="1" t="s">
        <v>18</v>
      </c>
      <c r="C57" s="1" t="s">
        <v>19</v>
      </c>
      <c r="D57" s="1" t="s">
        <v>20</v>
      </c>
    </row>
    <row r="58" spans="1:4" x14ac:dyDescent="0.25">
      <c r="A58" t="s">
        <v>44</v>
      </c>
      <c r="B58">
        <v>-2.8250000000000002</v>
      </c>
      <c r="D58">
        <v>-4.5</v>
      </c>
    </row>
    <row r="59" spans="1:4" x14ac:dyDescent="0.25">
      <c r="A59" t="s">
        <v>45</v>
      </c>
      <c r="B59">
        <v>-2.387</v>
      </c>
      <c r="D59">
        <v>-5.835</v>
      </c>
    </row>
    <row r="60" spans="1:4" x14ac:dyDescent="0.25">
      <c r="A60" t="s">
        <v>47</v>
      </c>
      <c r="B60">
        <v>-3.1133999999999999</v>
      </c>
      <c r="D60">
        <v>-5.835</v>
      </c>
    </row>
    <row r="61" spans="1:4" x14ac:dyDescent="0.25">
      <c r="A61" t="s">
        <v>46</v>
      </c>
      <c r="B61">
        <v>-3.5670000000000002</v>
      </c>
      <c r="D61">
        <v>-4.5</v>
      </c>
    </row>
    <row r="63" spans="1:4" x14ac:dyDescent="0.25">
      <c r="A63" s="1" t="s">
        <v>49</v>
      </c>
      <c r="B63" s="1" t="s">
        <v>18</v>
      </c>
      <c r="C63" s="1" t="s">
        <v>19</v>
      </c>
      <c r="D63" s="1" t="s">
        <v>20</v>
      </c>
    </row>
    <row r="64" spans="1:4" x14ac:dyDescent="0.25">
      <c r="A64" t="s">
        <v>44</v>
      </c>
      <c r="B64">
        <v>-3.22</v>
      </c>
      <c r="D64">
        <v>-1.9910000000000001</v>
      </c>
    </row>
    <row r="65" spans="1:4" x14ac:dyDescent="0.25">
      <c r="A65" t="s">
        <v>45</v>
      </c>
      <c r="B65">
        <v>-2.403</v>
      </c>
      <c r="D65">
        <v>-4.5</v>
      </c>
    </row>
    <row r="66" spans="1:4" x14ac:dyDescent="0.25">
      <c r="A66" t="s">
        <v>47</v>
      </c>
      <c r="B66">
        <v>-3.5670000000000002</v>
      </c>
      <c r="D66">
        <v>-4.5</v>
      </c>
    </row>
    <row r="67" spans="1:4" x14ac:dyDescent="0.25">
      <c r="A67" t="s">
        <v>50</v>
      </c>
      <c r="B67">
        <v>-4.1676799999999998</v>
      </c>
      <c r="D67">
        <v>-2.6951700000000001</v>
      </c>
    </row>
    <row r="68" spans="1:4" x14ac:dyDescent="0.25">
      <c r="A68" t="s">
        <v>46</v>
      </c>
      <c r="B68">
        <v>-3.5275799999999999</v>
      </c>
      <c r="D68">
        <v>-1.9910000000000001</v>
      </c>
    </row>
    <row r="70" spans="1:4" s="1" customFormat="1" x14ac:dyDescent="0.25">
      <c r="A70" s="1" t="s">
        <v>62</v>
      </c>
      <c r="B70" s="1" t="s">
        <v>18</v>
      </c>
      <c r="C70" s="1" t="s">
        <v>19</v>
      </c>
      <c r="D70" s="1" t="s">
        <v>20</v>
      </c>
    </row>
    <row r="71" spans="1:4" x14ac:dyDescent="0.25">
      <c r="A71" t="s">
        <v>44</v>
      </c>
      <c r="B71">
        <v>-3.22</v>
      </c>
      <c r="D71">
        <v>-1.9910000000000001</v>
      </c>
    </row>
    <row r="72" spans="1:4" x14ac:dyDescent="0.25">
      <c r="A72" t="s">
        <v>45</v>
      </c>
      <c r="B72">
        <v>-2.99071</v>
      </c>
      <c r="D72">
        <v>-2.6951700000000001</v>
      </c>
    </row>
    <row r="73" spans="1:4" x14ac:dyDescent="0.25">
      <c r="A73" t="s">
        <v>47</v>
      </c>
      <c r="B73">
        <v>-4.1676799999999998</v>
      </c>
      <c r="D73">
        <v>-2.6951700000000001</v>
      </c>
    </row>
    <row r="74" spans="1:4" x14ac:dyDescent="0.25">
      <c r="A74" t="s">
        <v>46</v>
      </c>
      <c r="B74">
        <v>-3.22</v>
      </c>
      <c r="D74">
        <v>-1.9910000000000001</v>
      </c>
    </row>
    <row r="76" spans="1:4" x14ac:dyDescent="0.25">
      <c r="A76" s="1" t="s">
        <v>63</v>
      </c>
      <c r="B76" s="1" t="s">
        <v>18</v>
      </c>
      <c r="C76" s="1" t="s">
        <v>19</v>
      </c>
      <c r="D76" s="1" t="s">
        <v>20</v>
      </c>
    </row>
    <row r="77" spans="1:4" x14ac:dyDescent="0.25">
      <c r="A77" t="s">
        <v>44</v>
      </c>
      <c r="B77">
        <v>-2.99071</v>
      </c>
      <c r="D77">
        <v>-2.6951700000000001</v>
      </c>
    </row>
    <row r="78" spans="1:4" x14ac:dyDescent="0.25">
      <c r="A78" t="s">
        <v>45</v>
      </c>
      <c r="B78">
        <v>-2.403</v>
      </c>
      <c r="D78">
        <v>-4.5</v>
      </c>
    </row>
    <row r="79" spans="1:4" x14ac:dyDescent="0.25">
      <c r="A79" t="s">
        <v>47</v>
      </c>
      <c r="B79">
        <v>-3.5670000000000002</v>
      </c>
      <c r="D79">
        <v>-4.5</v>
      </c>
    </row>
    <row r="80" spans="1:4" x14ac:dyDescent="0.25">
      <c r="A80" t="s">
        <v>46</v>
      </c>
      <c r="B80">
        <v>-4.1676799999999998</v>
      </c>
      <c r="D80">
        <v>-2.6951700000000001</v>
      </c>
    </row>
    <row r="82" spans="1:4" s="1" customFormat="1" x14ac:dyDescent="0.25">
      <c r="A82" s="1" t="s">
        <v>82</v>
      </c>
      <c r="B82" s="1" t="s">
        <v>18</v>
      </c>
      <c r="C82" s="1" t="s">
        <v>19</v>
      </c>
      <c r="D82" s="1" t="s">
        <v>20</v>
      </c>
    </row>
    <row r="83" spans="1:4" x14ac:dyDescent="0.25">
      <c r="A83" t="s">
        <v>44</v>
      </c>
      <c r="B83">
        <v>2.1280000000000001</v>
      </c>
      <c r="D83">
        <v>-2.3149999999999999</v>
      </c>
    </row>
    <row r="84" spans="1:4" x14ac:dyDescent="0.25">
      <c r="A84" t="s">
        <v>111</v>
      </c>
      <c r="B84">
        <v>2.2189999999999999</v>
      </c>
      <c r="D84">
        <v>-2.3969999999999998</v>
      </c>
    </row>
    <row r="85" spans="1:4" x14ac:dyDescent="0.25">
      <c r="A85" t="s">
        <v>45</v>
      </c>
      <c r="B85">
        <v>2.6040299999999998</v>
      </c>
      <c r="D85">
        <v>-2.3969999999999998</v>
      </c>
    </row>
    <row r="86" spans="1:4" x14ac:dyDescent="0.25">
      <c r="A86" t="s">
        <v>47</v>
      </c>
      <c r="B86">
        <v>-1.1249400000000001</v>
      </c>
      <c r="D86">
        <v>-6.6608400000000003</v>
      </c>
    </row>
    <row r="87" spans="1:4" x14ac:dyDescent="0.25">
      <c r="A87" t="s">
        <v>46</v>
      </c>
      <c r="B87">
        <v>-1.589</v>
      </c>
      <c r="D87">
        <v>-6.6608400000000003</v>
      </c>
    </row>
    <row r="89" spans="1:4" x14ac:dyDescent="0.25">
      <c r="A89" s="1" t="s">
        <v>51</v>
      </c>
      <c r="B89" s="1" t="s">
        <v>18</v>
      </c>
      <c r="C89" s="1" t="s">
        <v>19</v>
      </c>
      <c r="D89" s="1" t="s">
        <v>20</v>
      </c>
    </row>
    <row r="90" spans="1:4" x14ac:dyDescent="0.25">
      <c r="A90" t="s">
        <v>44</v>
      </c>
      <c r="B90">
        <v>2.6040299999999998</v>
      </c>
      <c r="D90">
        <v>-2.3969999999999998</v>
      </c>
    </row>
    <row r="91" spans="1:4" x14ac:dyDescent="0.25">
      <c r="A91" t="s">
        <v>45</v>
      </c>
      <c r="B91">
        <v>-1.1249400000000001</v>
      </c>
      <c r="D91">
        <v>-6.6608400000000003</v>
      </c>
    </row>
    <row r="92" spans="1:4" x14ac:dyDescent="0.25">
      <c r="A92" t="s">
        <v>47</v>
      </c>
      <c r="B92">
        <v>-1.589</v>
      </c>
      <c r="D92">
        <v>-6.6608400000000003</v>
      </c>
    </row>
    <row r="93" spans="1:4" x14ac:dyDescent="0.25">
      <c r="A93" t="s">
        <v>46</v>
      </c>
      <c r="B93">
        <v>2.0578699999999999</v>
      </c>
      <c r="D93">
        <v>-2.3969999999999998</v>
      </c>
    </row>
    <row r="95" spans="1:4" x14ac:dyDescent="0.25">
      <c r="A95" s="1" t="s">
        <v>52</v>
      </c>
      <c r="B95" s="1" t="s">
        <v>18</v>
      </c>
      <c r="C95" s="1" t="s">
        <v>19</v>
      </c>
      <c r="D95" s="1" t="s">
        <v>20</v>
      </c>
    </row>
    <row r="96" spans="1:4" x14ac:dyDescent="0.25">
      <c r="A96" t="s">
        <v>53</v>
      </c>
      <c r="B96">
        <v>2.1280000000000001</v>
      </c>
      <c r="D96">
        <v>-2.3149999999999999</v>
      </c>
    </row>
    <row r="97" spans="1:4" x14ac:dyDescent="0.25">
      <c r="A97" t="s">
        <v>45</v>
      </c>
      <c r="B97">
        <v>2.2189999999999999</v>
      </c>
      <c r="D97">
        <v>-2.3969999999999998</v>
      </c>
    </row>
    <row r="98" spans="1:4" x14ac:dyDescent="0.25">
      <c r="A98" t="s">
        <v>47</v>
      </c>
      <c r="B98">
        <v>2.0578699999999999</v>
      </c>
      <c r="D98">
        <v>-2.3969999999999998</v>
      </c>
    </row>
    <row r="100" spans="1:4" x14ac:dyDescent="0.25">
      <c r="A100" s="1" t="s">
        <v>54</v>
      </c>
      <c r="B100" s="1" t="s">
        <v>18</v>
      </c>
      <c r="C100" s="1" t="s">
        <v>19</v>
      </c>
      <c r="D100" s="1" t="s">
        <v>20</v>
      </c>
    </row>
    <row r="101" spans="1:4" x14ac:dyDescent="0.25">
      <c r="A101" t="s">
        <v>68</v>
      </c>
      <c r="B101">
        <v>-3.5318100000000001</v>
      </c>
      <c r="D101">
        <v>-1.9779599999999999</v>
      </c>
    </row>
    <row r="102" spans="1:4" x14ac:dyDescent="0.25">
      <c r="A102" t="s">
        <v>69</v>
      </c>
      <c r="B102">
        <v>-5.7462739999999997</v>
      </c>
      <c r="D102">
        <v>-4.4079899999999999</v>
      </c>
    </row>
    <row r="103" spans="1:4" x14ac:dyDescent="0.25">
      <c r="A103" t="s">
        <v>70</v>
      </c>
      <c r="B103">
        <v>-7.0298699999999998</v>
      </c>
      <c r="D103">
        <v>-4.4079899999999999</v>
      </c>
    </row>
    <row r="104" spans="1:4" x14ac:dyDescent="0.25">
      <c r="A104" t="s">
        <v>71</v>
      </c>
      <c r="B104">
        <v>-7.5481020000000001</v>
      </c>
      <c r="D104">
        <v>-2.786314</v>
      </c>
    </row>
    <row r="105" spans="1:4" x14ac:dyDescent="0.25">
      <c r="A105" t="s">
        <v>72</v>
      </c>
      <c r="B105">
        <v>-6.7250269999999999</v>
      </c>
      <c r="D105">
        <v>-1.9044479999999999</v>
      </c>
    </row>
    <row r="107" spans="1:4" x14ac:dyDescent="0.25">
      <c r="A107" s="1" t="s">
        <v>55</v>
      </c>
      <c r="B107" s="1" t="s">
        <v>18</v>
      </c>
      <c r="C107" s="1" t="s">
        <v>19</v>
      </c>
      <c r="D107" s="1" t="s">
        <v>20</v>
      </c>
    </row>
    <row r="108" spans="1:4" x14ac:dyDescent="0.25">
      <c r="A108" t="s">
        <v>73</v>
      </c>
      <c r="B108">
        <v>-3.5318100000000001</v>
      </c>
      <c r="D108">
        <v>-1.9779599999999999</v>
      </c>
    </row>
    <row r="109" spans="1:4" x14ac:dyDescent="0.25">
      <c r="A109" t="s">
        <v>74</v>
      </c>
      <c r="B109">
        <v>-4.2684499999999996</v>
      </c>
      <c r="D109">
        <v>-2.7863099999999998</v>
      </c>
    </row>
    <row r="110" spans="1:4" x14ac:dyDescent="0.25">
      <c r="A110" t="s">
        <v>75</v>
      </c>
      <c r="B110">
        <v>-7.5480999999999998</v>
      </c>
      <c r="D110">
        <v>-2.7863099999999998</v>
      </c>
    </row>
    <row r="111" spans="1:4" x14ac:dyDescent="0.25">
      <c r="A111" t="s">
        <v>76</v>
      </c>
      <c r="B111">
        <v>-6.7250269999999999</v>
      </c>
      <c r="D111">
        <v>-1.9044479999999999</v>
      </c>
    </row>
    <row r="113" spans="1:4" x14ac:dyDescent="0.25">
      <c r="A113" s="1" t="s">
        <v>56</v>
      </c>
      <c r="B113" s="1" t="s">
        <v>18</v>
      </c>
      <c r="C113" s="1" t="s">
        <v>19</v>
      </c>
      <c r="D113" s="1" t="s">
        <v>20</v>
      </c>
    </row>
    <row r="114" spans="1:4" x14ac:dyDescent="0.25">
      <c r="A114" t="s">
        <v>77</v>
      </c>
      <c r="B114">
        <v>-4.2684499999999996</v>
      </c>
      <c r="D114">
        <v>-2.7863099999999998</v>
      </c>
    </row>
    <row r="115" spans="1:4" x14ac:dyDescent="0.25">
      <c r="A115" t="s">
        <v>78</v>
      </c>
      <c r="B115">
        <v>-5.7462739999999997</v>
      </c>
      <c r="D115">
        <v>-4.4079899999999999</v>
      </c>
    </row>
    <row r="116" spans="1:4" x14ac:dyDescent="0.25">
      <c r="A116" t="s">
        <v>79</v>
      </c>
      <c r="B116">
        <v>-7.0298699999999998</v>
      </c>
      <c r="D116">
        <v>-4.4079899999999999</v>
      </c>
    </row>
    <row r="117" spans="1:4" x14ac:dyDescent="0.25">
      <c r="A117" t="s">
        <v>80</v>
      </c>
      <c r="B117">
        <v>-7.5480999999999998</v>
      </c>
      <c r="D117">
        <v>-2.7863099999999998</v>
      </c>
    </row>
    <row r="119" spans="1:4" x14ac:dyDescent="0.25">
      <c r="A119" s="1" t="s">
        <v>83</v>
      </c>
      <c r="B119" s="1" t="s">
        <v>18</v>
      </c>
      <c r="C119" s="1" t="s">
        <v>19</v>
      </c>
      <c r="D119" s="1" t="s">
        <v>20</v>
      </c>
    </row>
    <row r="120" spans="1:4" x14ac:dyDescent="0.25">
      <c r="A120" t="s">
        <v>86</v>
      </c>
      <c r="B120">
        <v>-1.71017</v>
      </c>
      <c r="C120">
        <v>0.36928</v>
      </c>
      <c r="D120">
        <v>-1.48844</v>
      </c>
    </row>
    <row r="121" spans="1:4" x14ac:dyDescent="0.25">
      <c r="A121" t="s">
        <v>85</v>
      </c>
      <c r="B121">
        <v>-3.1153499999999998</v>
      </c>
      <c r="C121">
        <v>3.1633200000000001</v>
      </c>
      <c r="D121">
        <v>-3.01173</v>
      </c>
    </row>
    <row r="122" spans="1:4" x14ac:dyDescent="0.25">
      <c r="A122" t="s">
        <v>87</v>
      </c>
      <c r="B122">
        <v>-4.5003500000000001</v>
      </c>
      <c r="C122">
        <v>3.1633200000000001</v>
      </c>
      <c r="D122">
        <v>-3.01173</v>
      </c>
    </row>
    <row r="123" spans="1:4" x14ac:dyDescent="0.25">
      <c r="A123" t="s">
        <v>88</v>
      </c>
      <c r="B123">
        <v>-5.9171100000000001</v>
      </c>
      <c r="C123">
        <v>0.36928</v>
      </c>
      <c r="D123">
        <v>-1.48844</v>
      </c>
    </row>
    <row r="125" spans="1:4" x14ac:dyDescent="0.25">
      <c r="A125" s="1" t="s">
        <v>84</v>
      </c>
      <c r="B125" s="1" t="s">
        <v>18</v>
      </c>
      <c r="C125" s="1" t="s">
        <v>19</v>
      </c>
      <c r="D125" s="1" t="s">
        <v>20</v>
      </c>
    </row>
    <row r="126" spans="1:4" x14ac:dyDescent="0.25">
      <c r="A126" t="s">
        <v>85</v>
      </c>
      <c r="B126">
        <v>-3.5917699999999999</v>
      </c>
      <c r="C126">
        <v>3.1633200000000001</v>
      </c>
      <c r="D126">
        <v>-3.01173</v>
      </c>
    </row>
    <row r="127" spans="1:4" x14ac:dyDescent="0.25">
      <c r="A127" t="s">
        <v>87</v>
      </c>
      <c r="B127">
        <v>-4.5003500000000001</v>
      </c>
      <c r="C127">
        <v>3.1633200000000001</v>
      </c>
      <c r="D127">
        <v>-3.01173</v>
      </c>
    </row>
    <row r="128" spans="1:4" x14ac:dyDescent="0.25">
      <c r="A128" t="s">
        <v>88</v>
      </c>
      <c r="B128">
        <v>-5.7638800000000003</v>
      </c>
      <c r="C128">
        <v>0.67146499999999998</v>
      </c>
      <c r="D128">
        <v>-1.6531899999999999</v>
      </c>
    </row>
    <row r="129" spans="1:4" x14ac:dyDescent="0.25">
      <c r="A129" t="s">
        <v>86</v>
      </c>
      <c r="B129">
        <v>-4.8552999999999997</v>
      </c>
      <c r="C129">
        <v>0.67146499999999998</v>
      </c>
      <c r="D129">
        <v>-1.6531899999999999</v>
      </c>
    </row>
    <row r="131" spans="1:4" x14ac:dyDescent="0.25">
      <c r="A131" s="1" t="s">
        <v>89</v>
      </c>
      <c r="B131" s="1" t="s">
        <v>18</v>
      </c>
      <c r="C131" s="1" t="s">
        <v>19</v>
      </c>
      <c r="D131" s="1" t="s">
        <v>20</v>
      </c>
    </row>
    <row r="132" spans="1:4" x14ac:dyDescent="0.25">
      <c r="A132" t="s">
        <v>85</v>
      </c>
      <c r="B132">
        <v>-3.1153499999999998</v>
      </c>
      <c r="C132">
        <v>3.1633200000000001</v>
      </c>
      <c r="D132">
        <v>-3.01173</v>
      </c>
    </row>
    <row r="133" spans="1:4" x14ac:dyDescent="0.25">
      <c r="A133" t="s">
        <v>87</v>
      </c>
      <c r="B133">
        <v>-3.5917699999999999</v>
      </c>
      <c r="C133">
        <v>3.1633200000000001</v>
      </c>
      <c r="D133">
        <v>-3.01173</v>
      </c>
    </row>
    <row r="134" spans="1:4" x14ac:dyDescent="0.25">
      <c r="A134" t="s">
        <v>88</v>
      </c>
      <c r="B134">
        <v>-4.8552999999999997</v>
      </c>
      <c r="C134">
        <v>0.67146499999999998</v>
      </c>
      <c r="D134">
        <v>-1.6531899999999999</v>
      </c>
    </row>
    <row r="135" spans="1:4" x14ac:dyDescent="0.25">
      <c r="A135" t="s">
        <v>86</v>
      </c>
      <c r="B135">
        <v>-1.8621399999999999</v>
      </c>
      <c r="C135">
        <v>0.67146499999999998</v>
      </c>
      <c r="D135">
        <v>-1.6531899999999999</v>
      </c>
    </row>
    <row r="137" spans="1:4" x14ac:dyDescent="0.25">
      <c r="A137" s="1" t="s">
        <v>90</v>
      </c>
      <c r="B137" s="1" t="s">
        <v>18</v>
      </c>
      <c r="C137" s="1" t="s">
        <v>19</v>
      </c>
      <c r="D137" s="1" t="s">
        <v>20</v>
      </c>
    </row>
    <row r="138" spans="1:4" x14ac:dyDescent="0.25">
      <c r="A138" t="s">
        <v>85</v>
      </c>
      <c r="B138">
        <v>-1.8621399999999999</v>
      </c>
      <c r="C138">
        <v>0.67146499999999998</v>
      </c>
      <c r="D138">
        <v>-1.6531899999999999</v>
      </c>
    </row>
    <row r="139" spans="1:4" x14ac:dyDescent="0.25">
      <c r="A139" t="s">
        <v>87</v>
      </c>
      <c r="B139">
        <v>-5.7638800000000003</v>
      </c>
      <c r="C139">
        <v>0.67146499999999998</v>
      </c>
      <c r="D139">
        <v>-1.6531899999999999</v>
      </c>
    </row>
    <row r="140" spans="1:4" x14ac:dyDescent="0.25">
      <c r="A140" t="s">
        <v>88</v>
      </c>
      <c r="B140">
        <v>-5.9171100000000001</v>
      </c>
      <c r="C140">
        <v>0.36928</v>
      </c>
      <c r="D140">
        <v>-1.48844</v>
      </c>
    </row>
    <row r="141" spans="1:4" x14ac:dyDescent="0.25">
      <c r="A141" t="s">
        <v>86</v>
      </c>
      <c r="B141">
        <v>-1.71017</v>
      </c>
      <c r="C141">
        <v>0.36928</v>
      </c>
      <c r="D141">
        <v>-1.48844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C851-CFF8-42B2-8149-D6B570577D01}">
  <dimension ref="A1:O107"/>
  <sheetViews>
    <sheetView tabSelected="1" workbookViewId="0">
      <selection activeCell="H14" sqref="H14"/>
    </sheetView>
  </sheetViews>
  <sheetFormatPr defaultRowHeight="15" x14ac:dyDescent="0.25"/>
  <cols>
    <col min="1" max="1" width="29.140625" bestFit="1" customWidth="1"/>
    <col min="2" max="3" width="9.7109375" bestFit="1" customWidth="1"/>
    <col min="4" max="4" width="9" bestFit="1" customWidth="1"/>
    <col min="5" max="5" width="14" bestFit="1" customWidth="1"/>
    <col min="7" max="7" width="6.28515625" bestFit="1" customWidth="1"/>
    <col min="14" max="14" width="10.42578125" customWidth="1"/>
  </cols>
  <sheetData>
    <row r="1" spans="1:15" x14ac:dyDescent="0.25">
      <c r="A1" s="1" t="s">
        <v>126</v>
      </c>
      <c r="B1" s="1" t="s">
        <v>114</v>
      </c>
      <c r="C1" s="1" t="s">
        <v>115</v>
      </c>
      <c r="D1" s="1" t="s">
        <v>116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t="s">
        <v>136</v>
      </c>
      <c r="B2">
        <v>3.756745</v>
      </c>
      <c r="C2">
        <v>-1.9963770000000001</v>
      </c>
      <c r="D2">
        <v>0.32754699999999998</v>
      </c>
    </row>
    <row r="3" spans="1:15" x14ac:dyDescent="0.25">
      <c r="A3" t="s">
        <v>130</v>
      </c>
      <c r="B3">
        <v>2.8916149999999998</v>
      </c>
      <c r="C3">
        <v>-2.0681560000000001</v>
      </c>
      <c r="D3">
        <v>0.37395800000000001</v>
      </c>
    </row>
    <row r="4" spans="1:15" x14ac:dyDescent="0.25">
      <c r="A4" t="s">
        <v>131</v>
      </c>
      <c r="B4">
        <v>-1.1249400000000001</v>
      </c>
      <c r="C4">
        <v>-6.6599740000000001</v>
      </c>
      <c r="D4">
        <v>0.113216</v>
      </c>
    </row>
    <row r="5" spans="1:15" x14ac:dyDescent="0.25">
      <c r="A5" t="s">
        <v>132</v>
      </c>
      <c r="B5">
        <v>-2.3071100000000002</v>
      </c>
      <c r="C5">
        <v>-6.6599740000000001</v>
      </c>
      <c r="D5">
        <v>0.18761</v>
      </c>
    </row>
    <row r="6" spans="1:15" ht="15" customHeight="1" x14ac:dyDescent="0.25">
      <c r="A6" t="s">
        <v>133</v>
      </c>
      <c r="B6">
        <v>-3.1131340000000001</v>
      </c>
      <c r="C6">
        <v>-5.8348089999999999</v>
      </c>
      <c r="D6">
        <v>0.282391</v>
      </c>
    </row>
    <row r="7" spans="1:15" x14ac:dyDescent="0.25">
      <c r="A7" t="s">
        <v>134</v>
      </c>
      <c r="B7">
        <v>-4.1676549999999999</v>
      </c>
      <c r="C7">
        <v>-2.6951299999999998</v>
      </c>
      <c r="D7">
        <v>0.30468099999999998</v>
      </c>
    </row>
    <row r="8" spans="1:15" x14ac:dyDescent="0.25">
      <c r="A8" t="s">
        <v>135</v>
      </c>
      <c r="B8">
        <v>-3.5297700000000001</v>
      </c>
      <c r="C8">
        <v>-1.9934099999999999</v>
      </c>
      <c r="D8">
        <v>0.318274</v>
      </c>
    </row>
    <row r="9" spans="1:15" x14ac:dyDescent="0.25">
      <c r="A9" t="s">
        <v>137</v>
      </c>
      <c r="B9">
        <v>5.1356000000000002</v>
      </c>
    </row>
    <row r="10" spans="1:15" x14ac:dyDescent="0.25">
      <c r="A10" t="s">
        <v>138</v>
      </c>
      <c r="B10">
        <v>13.56</v>
      </c>
    </row>
    <row r="11" spans="1:15" x14ac:dyDescent="0.25">
      <c r="A11" t="s">
        <v>139</v>
      </c>
      <c r="B11">
        <v>78.040000000000006</v>
      </c>
    </row>
    <row r="13" spans="1:15" x14ac:dyDescent="0.25">
      <c r="A13" s="1" t="s">
        <v>127</v>
      </c>
      <c r="B13" s="1" t="s">
        <v>114</v>
      </c>
      <c r="C13" s="1" t="s">
        <v>115</v>
      </c>
      <c r="D13" s="1" t="s">
        <v>116</v>
      </c>
    </row>
    <row r="14" spans="1:15" x14ac:dyDescent="0.25">
      <c r="A14" t="s">
        <v>143</v>
      </c>
      <c r="B14">
        <v>3.756745</v>
      </c>
      <c r="C14">
        <v>-1.9963770000000001</v>
      </c>
      <c r="D14">
        <v>0.32754699999999998</v>
      </c>
    </row>
    <row r="15" spans="1:15" x14ac:dyDescent="0.25">
      <c r="A15" t="s">
        <v>144</v>
      </c>
      <c r="B15">
        <v>-3.5297700000000001</v>
      </c>
      <c r="C15">
        <v>-1.9934099999999999</v>
      </c>
      <c r="D15">
        <v>0.318274</v>
      </c>
    </row>
    <row r="16" spans="1:15" x14ac:dyDescent="0.25">
      <c r="A16" t="s">
        <v>112</v>
      </c>
      <c r="B16">
        <f>B14-B15</f>
        <v>7.2865149999999996</v>
      </c>
    </row>
    <row r="17" spans="1:9" x14ac:dyDescent="0.25">
      <c r="A17" t="s">
        <v>113</v>
      </c>
      <c r="B17" s="2">
        <v>0</v>
      </c>
    </row>
    <row r="19" spans="1:9" x14ac:dyDescent="0.25">
      <c r="A19" s="1" t="s">
        <v>128</v>
      </c>
      <c r="B19" s="1" t="s">
        <v>114</v>
      </c>
      <c r="C19" s="1" t="s">
        <v>115</v>
      </c>
      <c r="D19" s="1" t="s">
        <v>116</v>
      </c>
    </row>
    <row r="20" spans="1:9" x14ac:dyDescent="0.25">
      <c r="A20" t="s">
        <v>143</v>
      </c>
      <c r="B20">
        <v>2.8916149999999998</v>
      </c>
      <c r="C20">
        <v>-2.0681560000000001</v>
      </c>
      <c r="D20">
        <v>0.37395800000000001</v>
      </c>
      <c r="H20" s="2"/>
      <c r="I20" s="2"/>
    </row>
    <row r="21" spans="1:9" x14ac:dyDescent="0.25">
      <c r="A21" t="s">
        <v>144</v>
      </c>
      <c r="B21">
        <v>-3.5974710000000001</v>
      </c>
      <c r="C21">
        <v>-2.0678860000000001</v>
      </c>
      <c r="D21">
        <v>0.316832</v>
      </c>
      <c r="H21" s="2"/>
      <c r="I21" s="2"/>
    </row>
    <row r="22" spans="1:9" x14ac:dyDescent="0.25">
      <c r="A22" t="s">
        <v>112</v>
      </c>
      <c r="B22" s="2">
        <v>6.4893000000000001</v>
      </c>
      <c r="H22" s="2"/>
      <c r="I22" s="2"/>
    </row>
    <row r="23" spans="1:9" x14ac:dyDescent="0.25">
      <c r="A23" t="s">
        <v>113</v>
      </c>
      <c r="B23" s="2">
        <v>0</v>
      </c>
      <c r="H23" s="2"/>
      <c r="I23" s="2"/>
    </row>
    <row r="24" spans="1:9" x14ac:dyDescent="0.25">
      <c r="H24" s="2"/>
      <c r="I24" s="2"/>
    </row>
    <row r="25" spans="1:9" x14ac:dyDescent="0.25">
      <c r="A25" s="1" t="s">
        <v>129</v>
      </c>
      <c r="H25" s="2"/>
      <c r="I25" s="2"/>
    </row>
    <row r="26" spans="1:9" x14ac:dyDescent="0.25">
      <c r="A26" t="s">
        <v>143</v>
      </c>
      <c r="B26">
        <v>2.6757390000000001</v>
      </c>
      <c r="C26">
        <v>-2.3149999999999999</v>
      </c>
      <c r="D26">
        <v>0.36053600000000002</v>
      </c>
    </row>
    <row r="27" spans="1:9" x14ac:dyDescent="0.25">
      <c r="A27" t="s">
        <v>144</v>
      </c>
      <c r="B27">
        <v>-3.8221029999999998</v>
      </c>
      <c r="C27">
        <v>-2.3149999999999999</v>
      </c>
      <c r="D27">
        <v>0.31204500000000002</v>
      </c>
    </row>
    <row r="28" spans="1:9" x14ac:dyDescent="0.25">
      <c r="A28" t="s">
        <v>112</v>
      </c>
      <c r="B28" s="2">
        <v>6.4980000000000002</v>
      </c>
    </row>
    <row r="29" spans="1:9" x14ac:dyDescent="0.25">
      <c r="A29" t="s">
        <v>113</v>
      </c>
      <c r="B29" s="2">
        <v>7.6799999999999993E-2</v>
      </c>
    </row>
    <row r="31" spans="1:9" x14ac:dyDescent="0.25">
      <c r="A31" s="1" t="s">
        <v>117</v>
      </c>
      <c r="B31" s="1" t="s">
        <v>114</v>
      </c>
      <c r="C31" s="1" t="s">
        <v>115</v>
      </c>
      <c r="D31" s="1" t="s">
        <v>116</v>
      </c>
    </row>
    <row r="32" spans="1:9" x14ac:dyDescent="0.25">
      <c r="A32" t="s">
        <v>143</v>
      </c>
      <c r="B32">
        <v>2.343299</v>
      </c>
      <c r="C32">
        <v>-2.6951299999999998</v>
      </c>
      <c r="D32">
        <v>0.339866</v>
      </c>
    </row>
    <row r="33" spans="1:9" x14ac:dyDescent="0.25">
      <c r="A33" t="s">
        <v>144</v>
      </c>
      <c r="B33">
        <v>-4.1676549999999999</v>
      </c>
      <c r="C33">
        <v>-2.6951299999999998</v>
      </c>
      <c r="D33">
        <v>0.30468099999999998</v>
      </c>
    </row>
    <row r="34" spans="1:9" x14ac:dyDescent="0.25">
      <c r="A34" t="s">
        <v>112</v>
      </c>
      <c r="B34" s="2">
        <v>6.5110000000000001</v>
      </c>
    </row>
    <row r="35" spans="1:9" x14ac:dyDescent="0.25">
      <c r="A35" t="s">
        <v>113</v>
      </c>
      <c r="B35" s="2">
        <v>0.1948</v>
      </c>
    </row>
    <row r="37" spans="1:9" x14ac:dyDescent="0.25">
      <c r="A37" s="1" t="s">
        <v>141</v>
      </c>
      <c r="B37" s="1" t="s">
        <v>114</v>
      </c>
      <c r="C37" s="1" t="s">
        <v>115</v>
      </c>
      <c r="D37" s="1" t="s">
        <v>116</v>
      </c>
    </row>
    <row r="38" spans="1:9" x14ac:dyDescent="0.25">
      <c r="A38" t="s">
        <v>143</v>
      </c>
      <c r="B38">
        <v>1.9486840000000001</v>
      </c>
      <c r="C38">
        <v>-3.1463480000000001</v>
      </c>
      <c r="D38">
        <v>0.31386700000000001</v>
      </c>
    </row>
    <row r="39" spans="1:9" x14ac:dyDescent="0.25">
      <c r="A39" t="s">
        <v>144</v>
      </c>
      <c r="B39">
        <v>-4.016127</v>
      </c>
      <c r="C39">
        <v>-3.1463399999999999</v>
      </c>
      <c r="D39">
        <v>0.30791000000000002</v>
      </c>
    </row>
    <row r="40" spans="1:9" x14ac:dyDescent="0.25">
      <c r="A40" t="s">
        <v>112</v>
      </c>
      <c r="B40">
        <v>5.9646999999999997</v>
      </c>
    </row>
    <row r="41" spans="1:9" x14ac:dyDescent="0.25">
      <c r="A41" t="s">
        <v>113</v>
      </c>
      <c r="B41">
        <v>0.54249999999999998</v>
      </c>
    </row>
    <row r="43" spans="1:9" x14ac:dyDescent="0.25">
      <c r="A43" s="1" t="s">
        <v>142</v>
      </c>
      <c r="B43" s="1" t="s">
        <v>114</v>
      </c>
      <c r="C43" s="1" t="s">
        <v>115</v>
      </c>
      <c r="D43" s="1" t="s">
        <v>116</v>
      </c>
    </row>
    <row r="44" spans="1:9" x14ac:dyDescent="0.25">
      <c r="A44" t="s">
        <v>143</v>
      </c>
      <c r="B44">
        <v>1.5540689999999999</v>
      </c>
      <c r="C44">
        <v>-3.5975649999999999</v>
      </c>
      <c r="D44">
        <v>0.28786699999999998</v>
      </c>
    </row>
    <row r="45" spans="1:9" x14ac:dyDescent="0.25">
      <c r="A45" t="s">
        <v>144</v>
      </c>
      <c r="B45">
        <v>-3.8645990000000001</v>
      </c>
      <c r="C45">
        <v>-3.59755</v>
      </c>
      <c r="D45">
        <v>0.311139</v>
      </c>
      <c r="H45" s="2"/>
      <c r="I45" s="2"/>
    </row>
    <row r="46" spans="1:9" x14ac:dyDescent="0.25">
      <c r="A46" t="s">
        <v>112</v>
      </c>
      <c r="B46">
        <v>5.4192</v>
      </c>
    </row>
    <row r="47" spans="1:9" x14ac:dyDescent="0.25">
      <c r="A47" t="s">
        <v>113</v>
      </c>
      <c r="B47">
        <v>0.88980000000000004</v>
      </c>
    </row>
    <row r="49" spans="1:9" x14ac:dyDescent="0.25">
      <c r="A49" s="1" t="s">
        <v>149</v>
      </c>
      <c r="B49" s="1" t="s">
        <v>114</v>
      </c>
      <c r="C49" s="1" t="s">
        <v>115</v>
      </c>
      <c r="D49" s="1" t="s">
        <v>116</v>
      </c>
    </row>
    <row r="50" spans="1:9" x14ac:dyDescent="0.25">
      <c r="A50" t="s">
        <v>143</v>
      </c>
      <c r="B50">
        <v>1.159454</v>
      </c>
      <c r="C50">
        <v>-4.0487820000000001</v>
      </c>
      <c r="D50">
        <v>0.26186799999999999</v>
      </c>
    </row>
    <row r="51" spans="1:9" x14ac:dyDescent="0.25">
      <c r="A51" t="s">
        <v>144</v>
      </c>
      <c r="B51">
        <v>-3.7130700000000001</v>
      </c>
      <c r="C51">
        <v>-4.0487599999999997</v>
      </c>
      <c r="D51">
        <v>0.31436799999999998</v>
      </c>
    </row>
    <row r="52" spans="1:9" x14ac:dyDescent="0.25">
      <c r="A52" t="s">
        <v>112</v>
      </c>
      <c r="B52">
        <v>4.8731999999999998</v>
      </c>
    </row>
    <row r="53" spans="1:9" x14ac:dyDescent="0.25">
      <c r="A53" t="s">
        <v>113</v>
      </c>
      <c r="B53">
        <v>1.2378</v>
      </c>
    </row>
    <row r="55" spans="1:9" x14ac:dyDescent="0.25">
      <c r="A55" s="1" t="s">
        <v>118</v>
      </c>
      <c r="B55" s="1" t="s">
        <v>114</v>
      </c>
      <c r="C55" s="1" t="s">
        <v>115</v>
      </c>
      <c r="D55" s="1" t="s">
        <v>116</v>
      </c>
    </row>
    <row r="56" spans="1:9" x14ac:dyDescent="0.25">
      <c r="A56" t="s">
        <v>143</v>
      </c>
      <c r="B56">
        <v>0.76483999999999996</v>
      </c>
      <c r="C56">
        <v>-4.5</v>
      </c>
      <c r="D56">
        <v>0.23586799999999999</v>
      </c>
    </row>
    <row r="57" spans="1:9" x14ac:dyDescent="0.25">
      <c r="A57" t="s">
        <v>144</v>
      </c>
      <c r="B57">
        <v>-3.5615420000000002</v>
      </c>
      <c r="C57">
        <v>-4.4999700000000002</v>
      </c>
      <c r="D57">
        <v>0.31759700000000002</v>
      </c>
    </row>
    <row r="58" spans="1:9" x14ac:dyDescent="0.25">
      <c r="A58" t="s">
        <v>112</v>
      </c>
      <c r="B58" s="2">
        <v>4.3272000000000004</v>
      </c>
    </row>
    <row r="59" spans="1:9" x14ac:dyDescent="0.25">
      <c r="A59" t="s">
        <v>113</v>
      </c>
      <c r="B59" s="2">
        <v>1.5866</v>
      </c>
    </row>
    <row r="61" spans="1:9" x14ac:dyDescent="0.25">
      <c r="A61" s="1" t="s">
        <v>145</v>
      </c>
      <c r="B61" s="1" t="s">
        <v>114</v>
      </c>
      <c r="C61" s="1" t="s">
        <v>115</v>
      </c>
      <c r="D61" s="1" t="s">
        <v>116</v>
      </c>
      <c r="H61" s="2"/>
      <c r="I61" s="2"/>
    </row>
    <row r="62" spans="1:9" x14ac:dyDescent="0.25">
      <c r="A62" t="s">
        <v>143</v>
      </c>
      <c r="B62">
        <v>-3.4120729999999999</v>
      </c>
      <c r="C62">
        <v>-4.9449170000000002</v>
      </c>
      <c r="D62">
        <v>0.30586200000000002</v>
      </c>
      <c r="H62" s="2"/>
      <c r="I62" s="2"/>
    </row>
    <row r="63" spans="1:9" x14ac:dyDescent="0.25">
      <c r="A63" t="s">
        <v>144</v>
      </c>
      <c r="B63">
        <v>0.37585499999999999</v>
      </c>
      <c r="C63">
        <v>-4.9447780000000003</v>
      </c>
      <c r="D63">
        <v>0.21061199999999999</v>
      </c>
    </row>
    <row r="64" spans="1:9" x14ac:dyDescent="0.25">
      <c r="A64" t="s">
        <v>112</v>
      </c>
      <c r="B64">
        <v>3.7890999999999999</v>
      </c>
    </row>
    <row r="65" spans="1:9" x14ac:dyDescent="0.25">
      <c r="A65" t="s">
        <v>113</v>
      </c>
      <c r="B65">
        <v>2.0869</v>
      </c>
    </row>
    <row r="67" spans="1:9" x14ac:dyDescent="0.25">
      <c r="A67" s="1" t="s">
        <v>146</v>
      </c>
      <c r="B67" s="1" t="s">
        <v>114</v>
      </c>
      <c r="C67" s="1" t="s">
        <v>115</v>
      </c>
      <c r="D67" s="1" t="s">
        <v>116</v>
      </c>
    </row>
    <row r="68" spans="1:9" x14ac:dyDescent="0.25">
      <c r="A68" t="s">
        <v>143</v>
      </c>
      <c r="B68">
        <v>-3.2626040000000001</v>
      </c>
      <c r="C68">
        <v>-5.3898630000000001</v>
      </c>
      <c r="D68">
        <v>0.294126</v>
      </c>
    </row>
    <row r="69" spans="1:9" x14ac:dyDescent="0.25">
      <c r="A69" t="s">
        <v>144</v>
      </c>
      <c r="B69">
        <v>-1.3129E-2</v>
      </c>
      <c r="C69">
        <v>-5.3895559999999998</v>
      </c>
      <c r="D69">
        <v>0.18535499999999999</v>
      </c>
    </row>
    <row r="70" spans="1:9" x14ac:dyDescent="0.25">
      <c r="A70" t="s">
        <v>112</v>
      </c>
      <c r="B70">
        <v>3.2538</v>
      </c>
    </row>
    <row r="71" spans="1:9" x14ac:dyDescent="0.25">
      <c r="A71" t="s">
        <v>113</v>
      </c>
      <c r="B71">
        <v>2.5886</v>
      </c>
    </row>
    <row r="73" spans="1:9" x14ac:dyDescent="0.25">
      <c r="A73" s="1" t="s">
        <v>119</v>
      </c>
      <c r="B73" s="1" t="s">
        <v>114</v>
      </c>
      <c r="C73" s="1" t="s">
        <v>115</v>
      </c>
      <c r="D73" s="1" t="s">
        <v>116</v>
      </c>
    </row>
    <row r="74" spans="1:9" x14ac:dyDescent="0.25">
      <c r="A74" t="s">
        <v>143</v>
      </c>
      <c r="B74">
        <v>-0.402113</v>
      </c>
      <c r="C74">
        <v>-5.8343340000000001</v>
      </c>
      <c r="D74">
        <v>0.16009899999999999</v>
      </c>
    </row>
    <row r="75" spans="1:9" x14ac:dyDescent="0.25">
      <c r="A75" t="s">
        <v>144</v>
      </c>
      <c r="B75">
        <v>-3.1131340000000001</v>
      </c>
      <c r="C75">
        <v>-5.8348089999999999</v>
      </c>
      <c r="D75">
        <v>0.282391</v>
      </c>
    </row>
    <row r="76" spans="1:9" x14ac:dyDescent="0.25">
      <c r="A76" t="s">
        <v>112</v>
      </c>
      <c r="B76" s="2">
        <v>2.7138</v>
      </c>
    </row>
    <row r="77" spans="1:9" x14ac:dyDescent="0.25">
      <c r="A77" t="s">
        <v>113</v>
      </c>
      <c r="B77" s="2">
        <v>3.0872000000000002</v>
      </c>
    </row>
    <row r="79" spans="1:9" x14ac:dyDescent="0.25">
      <c r="A79" s="1" t="s">
        <v>147</v>
      </c>
      <c r="B79" s="1" t="s">
        <v>114</v>
      </c>
      <c r="C79" s="1" t="s">
        <v>115</v>
      </c>
      <c r="D79" s="1" t="s">
        <v>116</v>
      </c>
      <c r="H79" s="2"/>
      <c r="I79" s="2"/>
    </row>
    <row r="80" spans="1:9" x14ac:dyDescent="0.25">
      <c r="A80" t="s">
        <v>143</v>
      </c>
      <c r="B80">
        <v>-0.64305500000000004</v>
      </c>
      <c r="C80">
        <v>-6.1095480000000002</v>
      </c>
      <c r="D80">
        <v>0.14447099999999999</v>
      </c>
    </row>
    <row r="81" spans="1:4" x14ac:dyDescent="0.25">
      <c r="A81" t="s">
        <v>144</v>
      </c>
      <c r="B81">
        <v>-2.8444600000000002</v>
      </c>
      <c r="C81">
        <v>-6.109864</v>
      </c>
      <c r="D81">
        <v>0.25079699999999999</v>
      </c>
    </row>
    <row r="82" spans="1:4" x14ac:dyDescent="0.25">
      <c r="A82" t="s">
        <v>112</v>
      </c>
      <c r="B82">
        <v>2.2039</v>
      </c>
    </row>
    <row r="83" spans="1:4" x14ac:dyDescent="0.25">
      <c r="A83" t="s">
        <v>113</v>
      </c>
      <c r="B83">
        <v>3.4266999999999999</v>
      </c>
    </row>
    <row r="85" spans="1:4" x14ac:dyDescent="0.25">
      <c r="A85" s="1" t="s">
        <v>148</v>
      </c>
      <c r="B85" s="1" t="s">
        <v>114</v>
      </c>
      <c r="C85" s="1" t="s">
        <v>115</v>
      </c>
      <c r="D85" s="1" t="s">
        <v>116</v>
      </c>
    </row>
    <row r="86" spans="1:4" x14ac:dyDescent="0.25">
      <c r="A86" t="s">
        <v>143</v>
      </c>
      <c r="B86">
        <v>-0.88399799999999995</v>
      </c>
      <c r="C86">
        <v>-6.3847610000000001</v>
      </c>
      <c r="D86">
        <v>0.12884399999999999</v>
      </c>
    </row>
    <row r="87" spans="1:4" x14ac:dyDescent="0.25">
      <c r="A87" t="s">
        <v>144</v>
      </c>
      <c r="B87">
        <v>-2.5757850000000002</v>
      </c>
      <c r="C87">
        <v>-6.384919</v>
      </c>
      <c r="D87">
        <v>0.21920400000000001</v>
      </c>
    </row>
    <row r="88" spans="1:4" x14ac:dyDescent="0.25">
      <c r="A88" t="s">
        <v>112</v>
      </c>
      <c r="B88">
        <v>1.6948000000000001</v>
      </c>
    </row>
    <row r="89" spans="1:4" x14ac:dyDescent="0.25">
      <c r="A89" t="s">
        <v>113</v>
      </c>
      <c r="B89">
        <v>3.7658999999999998</v>
      </c>
    </row>
    <row r="91" spans="1:4" x14ac:dyDescent="0.25">
      <c r="A91" s="1" t="s">
        <v>120</v>
      </c>
      <c r="B91" s="1" t="s">
        <v>114</v>
      </c>
      <c r="C91" s="1" t="s">
        <v>115</v>
      </c>
      <c r="D91" s="1" t="s">
        <v>116</v>
      </c>
    </row>
    <row r="92" spans="1:4" x14ac:dyDescent="0.25">
      <c r="A92" t="s">
        <v>143</v>
      </c>
      <c r="B92">
        <v>-1.1249400000000001</v>
      </c>
      <c r="C92">
        <v>-6.6599740000000001</v>
      </c>
      <c r="D92">
        <v>0.113216</v>
      </c>
    </row>
    <row r="93" spans="1:4" x14ac:dyDescent="0.25">
      <c r="A93" t="s">
        <v>144</v>
      </c>
      <c r="B93">
        <v>-2.3071100000000002</v>
      </c>
      <c r="C93">
        <v>-6.6599740000000001</v>
      </c>
      <c r="D93">
        <v>0.18761</v>
      </c>
    </row>
    <row r="94" spans="1:4" x14ac:dyDescent="0.25">
      <c r="A94" t="s">
        <v>112</v>
      </c>
      <c r="B94" s="2">
        <v>1.1845000000000001</v>
      </c>
    </row>
    <row r="95" spans="1:4" x14ac:dyDescent="0.25">
      <c r="A95" t="s">
        <v>113</v>
      </c>
      <c r="B95" s="2">
        <v>4.1052999999999997</v>
      </c>
    </row>
    <row r="97" spans="1:5" x14ac:dyDescent="0.25">
      <c r="A97" s="1" t="s">
        <v>121</v>
      </c>
      <c r="B97" s="1" t="s">
        <v>114</v>
      </c>
      <c r="C97" s="1" t="s">
        <v>115</v>
      </c>
      <c r="D97" s="1" t="s">
        <v>116</v>
      </c>
      <c r="E97" s="1" t="s">
        <v>140</v>
      </c>
    </row>
    <row r="98" spans="1:5" x14ac:dyDescent="0.25">
      <c r="A98" t="s">
        <v>124</v>
      </c>
      <c r="B98">
        <v>-3.22</v>
      </c>
      <c r="C98">
        <v>-1.993482</v>
      </c>
      <c r="D98">
        <v>0.320961</v>
      </c>
      <c r="E98">
        <v>0.95750000000000002</v>
      </c>
    </row>
    <row r="99" spans="1:5" x14ac:dyDescent="0.25">
      <c r="A99" t="s">
        <v>125</v>
      </c>
      <c r="B99">
        <v>-2.403</v>
      </c>
      <c r="C99">
        <v>-4.4999779999999996</v>
      </c>
      <c r="D99">
        <v>0.29541899999999999</v>
      </c>
      <c r="E99">
        <v>0.73219999999999996</v>
      </c>
    </row>
    <row r="101" spans="1:5" x14ac:dyDescent="0.25">
      <c r="A101" s="1" t="s">
        <v>122</v>
      </c>
      <c r="B101" s="1" t="s">
        <v>114</v>
      </c>
      <c r="C101" s="1" t="s">
        <v>115</v>
      </c>
      <c r="D101" s="1" t="s">
        <v>116</v>
      </c>
      <c r="E101" s="1" t="s">
        <v>140</v>
      </c>
    </row>
    <row r="102" spans="1:5" x14ac:dyDescent="0.25">
      <c r="A102" t="s">
        <v>124</v>
      </c>
      <c r="B102">
        <v>-2.8250000000000002</v>
      </c>
      <c r="C102">
        <v>-4.4999750000000001</v>
      </c>
      <c r="D102">
        <v>0.30349799999999999</v>
      </c>
      <c r="E102">
        <v>0.82979999999999998</v>
      </c>
    </row>
    <row r="103" spans="1:5" x14ac:dyDescent="0.25">
      <c r="A103" t="s">
        <v>125</v>
      </c>
      <c r="B103">
        <v>-2.387</v>
      </c>
      <c r="C103">
        <v>-5.8346819999999999</v>
      </c>
      <c r="D103">
        <v>0.249636</v>
      </c>
      <c r="E103">
        <v>0.73219999999999996</v>
      </c>
    </row>
    <row r="105" spans="1:5" x14ac:dyDescent="0.25">
      <c r="A105" s="1" t="s">
        <v>123</v>
      </c>
      <c r="B105" s="1" t="s">
        <v>114</v>
      </c>
      <c r="C105" s="1" t="s">
        <v>115</v>
      </c>
      <c r="D105" s="1" t="s">
        <v>116</v>
      </c>
      <c r="E105" s="1" t="s">
        <v>140</v>
      </c>
    </row>
    <row r="106" spans="1:5" x14ac:dyDescent="0.25">
      <c r="A106" t="s">
        <v>124</v>
      </c>
      <c r="B106">
        <v>2.1280000000000001</v>
      </c>
      <c r="C106">
        <v>-2.3149999999999999</v>
      </c>
      <c r="D106">
        <v>0.35661700000000002</v>
      </c>
      <c r="E106">
        <v>8.43E-2</v>
      </c>
    </row>
    <row r="107" spans="1:5" x14ac:dyDescent="0.25">
      <c r="A107" t="s">
        <v>125</v>
      </c>
      <c r="B107">
        <v>-1.589</v>
      </c>
      <c r="C107">
        <v>-6.6599740000000001</v>
      </c>
      <c r="D107">
        <v>0.14241899999999999</v>
      </c>
      <c r="E107">
        <v>0.39255000000000001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EDAD-71AF-4151-A78C-0AA732BB98EC}">
  <dimension ref="A1:J17"/>
  <sheetViews>
    <sheetView workbookViewId="0">
      <selection activeCell="Q13" sqref="Q13"/>
    </sheetView>
  </sheetViews>
  <sheetFormatPr defaultRowHeight="15" x14ac:dyDescent="0.25"/>
  <cols>
    <col min="1" max="1" width="8.28515625" bestFit="1" customWidth="1"/>
    <col min="2" max="2" width="14.42578125" customWidth="1"/>
    <col min="3" max="4" width="9.7109375" bestFit="1" customWidth="1"/>
    <col min="5" max="5" width="9" bestFit="1" customWidth="1"/>
    <col min="6" max="7" width="9.7109375" bestFit="1" customWidth="1"/>
    <col min="8" max="8" width="9" bestFit="1" customWidth="1"/>
    <col min="9" max="9" width="12.7109375" bestFit="1" customWidth="1"/>
    <col min="10" max="10" width="13.5703125" bestFit="1" customWidth="1"/>
  </cols>
  <sheetData>
    <row r="1" spans="1:10" x14ac:dyDescent="0.25">
      <c r="A1" s="1" t="s">
        <v>161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159</v>
      </c>
      <c r="J1" s="1" t="s">
        <v>160</v>
      </c>
    </row>
    <row r="2" spans="1:10" x14ac:dyDescent="0.25">
      <c r="A2">
        <v>0</v>
      </c>
      <c r="B2" t="s">
        <v>157</v>
      </c>
      <c r="C2">
        <v>3.756745</v>
      </c>
      <c r="D2">
        <v>-1.9963770000000001</v>
      </c>
      <c r="E2">
        <v>0.32754699999999998</v>
      </c>
      <c r="F2">
        <v>-3.5297700000000001</v>
      </c>
      <c r="G2">
        <v>-1.9934099999999999</v>
      </c>
      <c r="H2">
        <v>0.318274</v>
      </c>
      <c r="I2">
        <v>7.2865000000000002</v>
      </c>
      <c r="J2">
        <v>0</v>
      </c>
    </row>
    <row r="3" spans="1:10" x14ac:dyDescent="0.25">
      <c r="A3">
        <v>1</v>
      </c>
      <c r="C3">
        <v>2.8916149999999998</v>
      </c>
      <c r="D3">
        <v>-2.0681560000000001</v>
      </c>
      <c r="E3">
        <v>0.37395800000000001</v>
      </c>
      <c r="F3">
        <v>-3.5974710000000001</v>
      </c>
      <c r="G3">
        <v>-2.0678860000000001</v>
      </c>
      <c r="H3">
        <v>0.316832</v>
      </c>
      <c r="I3">
        <v>6.4893000000000001</v>
      </c>
      <c r="J3">
        <v>0</v>
      </c>
    </row>
    <row r="4" spans="1:10" x14ac:dyDescent="0.25">
      <c r="A4">
        <v>3</v>
      </c>
      <c r="C4">
        <v>2.6757390000000001</v>
      </c>
      <c r="D4">
        <v>-2.3149999999999999</v>
      </c>
      <c r="E4">
        <v>0.36053600000000002</v>
      </c>
      <c r="F4">
        <v>-3.8221029999999998</v>
      </c>
      <c r="G4">
        <v>-2.3149999999999999</v>
      </c>
      <c r="H4">
        <v>0.31204500000000002</v>
      </c>
      <c r="I4">
        <v>6.4980000000000002</v>
      </c>
      <c r="J4">
        <v>7.6799999999999993E-2</v>
      </c>
    </row>
    <row r="5" spans="1:10" x14ac:dyDescent="0.25">
      <c r="A5">
        <v>4</v>
      </c>
      <c r="C5">
        <v>2.343299</v>
      </c>
      <c r="D5">
        <v>-2.6951299999999998</v>
      </c>
      <c r="E5">
        <v>0.339866</v>
      </c>
      <c r="F5">
        <v>-4.1676549999999999</v>
      </c>
      <c r="G5">
        <v>-2.6951299999999998</v>
      </c>
      <c r="H5">
        <v>0.30468099999999998</v>
      </c>
      <c r="I5">
        <v>6.5110000000000001</v>
      </c>
      <c r="J5">
        <v>0.1948</v>
      </c>
    </row>
    <row r="6" spans="1:10" x14ac:dyDescent="0.25">
      <c r="A6">
        <v>5</v>
      </c>
      <c r="C6">
        <v>1.9486840000000001</v>
      </c>
      <c r="D6">
        <v>-3.1463480000000001</v>
      </c>
      <c r="E6">
        <v>0.31386700000000001</v>
      </c>
      <c r="F6">
        <v>-4.016127</v>
      </c>
      <c r="G6">
        <v>-3.1463399999999999</v>
      </c>
      <c r="H6">
        <v>0.30791000000000002</v>
      </c>
      <c r="I6">
        <v>5.9646999999999997</v>
      </c>
      <c r="J6">
        <v>0.54249999999999998</v>
      </c>
    </row>
    <row r="7" spans="1:10" x14ac:dyDescent="0.25">
      <c r="A7">
        <v>6</v>
      </c>
      <c r="C7">
        <v>1.5540689999999999</v>
      </c>
      <c r="D7">
        <v>-3.5975649999999999</v>
      </c>
      <c r="E7">
        <v>0.28786699999999998</v>
      </c>
      <c r="F7">
        <v>-3.8645990000000001</v>
      </c>
      <c r="G7">
        <v>-3.59755</v>
      </c>
      <c r="H7">
        <v>0.311139</v>
      </c>
      <c r="I7">
        <v>5.4192</v>
      </c>
      <c r="J7">
        <v>0.88980000000000004</v>
      </c>
    </row>
    <row r="8" spans="1:10" x14ac:dyDescent="0.25">
      <c r="A8">
        <v>7</v>
      </c>
      <c r="C8">
        <v>1.159454</v>
      </c>
      <c r="D8">
        <v>-4.0487820000000001</v>
      </c>
      <c r="E8">
        <v>0.26186799999999999</v>
      </c>
      <c r="F8">
        <v>-3.7130700000000001</v>
      </c>
      <c r="G8">
        <v>-4.0487599999999997</v>
      </c>
      <c r="H8">
        <v>0.31436799999999998</v>
      </c>
      <c r="I8">
        <v>4.8731999999999998</v>
      </c>
      <c r="J8">
        <v>1.2378</v>
      </c>
    </row>
    <row r="9" spans="1:10" x14ac:dyDescent="0.25">
      <c r="A9">
        <v>8</v>
      </c>
      <c r="C9">
        <v>0.76483999999999996</v>
      </c>
      <c r="D9">
        <v>-4.5</v>
      </c>
      <c r="E9">
        <v>0.23586799999999999</v>
      </c>
      <c r="F9">
        <v>-3.5615420000000002</v>
      </c>
      <c r="G9">
        <v>-4.4999700000000002</v>
      </c>
      <c r="H9">
        <v>0.31759700000000002</v>
      </c>
      <c r="I9">
        <v>4.3272000000000004</v>
      </c>
      <c r="J9">
        <v>1.5866</v>
      </c>
    </row>
    <row r="10" spans="1:10" x14ac:dyDescent="0.25">
      <c r="A10">
        <v>9</v>
      </c>
      <c r="C10">
        <v>-3.4120729999999999</v>
      </c>
      <c r="D10">
        <v>-4.9449170000000002</v>
      </c>
      <c r="E10">
        <v>0.30586200000000002</v>
      </c>
      <c r="F10">
        <v>0.37585499999999999</v>
      </c>
      <c r="G10">
        <v>-4.9447780000000003</v>
      </c>
      <c r="H10">
        <v>0.21061199999999999</v>
      </c>
      <c r="I10">
        <v>3.7890999999999999</v>
      </c>
      <c r="J10">
        <v>2.0869</v>
      </c>
    </row>
    <row r="11" spans="1:10" x14ac:dyDescent="0.25">
      <c r="A11">
        <v>10</v>
      </c>
      <c r="C11">
        <v>-3.2626040000000001</v>
      </c>
      <c r="D11">
        <v>-5.3898630000000001</v>
      </c>
      <c r="E11">
        <v>0.294126</v>
      </c>
      <c r="F11">
        <v>-1.3129E-2</v>
      </c>
      <c r="G11">
        <v>-5.3895559999999998</v>
      </c>
      <c r="H11">
        <v>0.18535499999999999</v>
      </c>
      <c r="I11">
        <v>3.2538</v>
      </c>
      <c r="J11">
        <v>2.5886</v>
      </c>
    </row>
    <row r="12" spans="1:10" x14ac:dyDescent="0.25">
      <c r="A12">
        <v>11</v>
      </c>
      <c r="C12">
        <v>-0.402113</v>
      </c>
      <c r="D12">
        <v>-5.8343340000000001</v>
      </c>
      <c r="E12">
        <v>0.16009899999999999</v>
      </c>
      <c r="F12">
        <v>-3.1131340000000001</v>
      </c>
      <c r="G12">
        <v>-5.8348089999999999</v>
      </c>
      <c r="H12">
        <v>0.282391</v>
      </c>
      <c r="I12">
        <v>2.7138</v>
      </c>
      <c r="J12">
        <v>3.0872000000000002</v>
      </c>
    </row>
    <row r="13" spans="1:10" x14ac:dyDescent="0.25">
      <c r="A13">
        <v>12</v>
      </c>
      <c r="C13">
        <v>-0.64305500000000004</v>
      </c>
      <c r="D13">
        <v>-6.1095480000000002</v>
      </c>
      <c r="E13">
        <v>0.14447099999999999</v>
      </c>
      <c r="F13">
        <v>-2.8444600000000002</v>
      </c>
      <c r="G13">
        <v>-6.109864</v>
      </c>
      <c r="H13">
        <v>0.25079699999999999</v>
      </c>
      <c r="I13">
        <v>2.2039</v>
      </c>
      <c r="J13">
        <v>3.4266999999999999</v>
      </c>
    </row>
    <row r="14" spans="1:10" x14ac:dyDescent="0.25">
      <c r="A14">
        <v>13</v>
      </c>
      <c r="C14">
        <v>-0.88399799999999995</v>
      </c>
      <c r="D14">
        <v>-6.3847610000000001</v>
      </c>
      <c r="E14">
        <v>0.12884399999999999</v>
      </c>
      <c r="F14">
        <v>-2.5757850000000002</v>
      </c>
      <c r="G14">
        <v>-6.384919</v>
      </c>
      <c r="H14">
        <v>0.21920400000000001</v>
      </c>
      <c r="I14">
        <v>1.6948000000000001</v>
      </c>
      <c r="J14">
        <v>3.7658999999999998</v>
      </c>
    </row>
    <row r="15" spans="1:10" x14ac:dyDescent="0.25">
      <c r="A15">
        <v>14</v>
      </c>
      <c r="B15" t="s">
        <v>158</v>
      </c>
      <c r="C15">
        <v>-1.1249400000000001</v>
      </c>
      <c r="D15">
        <v>-6.6599740000000001</v>
      </c>
      <c r="E15">
        <v>0.113216</v>
      </c>
      <c r="F15">
        <v>-2.3071100000000002</v>
      </c>
      <c r="G15">
        <v>-6.6599740000000001</v>
      </c>
      <c r="H15">
        <v>0.18761</v>
      </c>
      <c r="I15">
        <v>1.1845000000000001</v>
      </c>
      <c r="J15">
        <v>4.1052999999999997</v>
      </c>
    </row>
    <row r="16" spans="1:10" x14ac:dyDescent="0.25">
      <c r="A16" s="3"/>
      <c r="B16" s="2"/>
      <c r="C16" s="2"/>
    </row>
    <row r="17" spans="1:3" x14ac:dyDescent="0.25">
      <c r="A17" s="3"/>
      <c r="B17" s="2"/>
      <c r="C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726C-079C-4E3F-BC0D-8CF52B461EE3}">
  <dimension ref="A1:C90"/>
  <sheetViews>
    <sheetView topLeftCell="A3" workbookViewId="0">
      <selection activeCell="G62" sqref="G62"/>
    </sheetView>
  </sheetViews>
  <sheetFormatPr defaultRowHeight="15" x14ac:dyDescent="0.25"/>
  <cols>
    <col min="1" max="1" width="27.5703125" bestFit="1" customWidth="1"/>
    <col min="2" max="2" width="8" bestFit="1" customWidth="1"/>
  </cols>
  <sheetData>
    <row r="1" spans="1:2" x14ac:dyDescent="0.25">
      <c r="A1" s="1" t="s">
        <v>97</v>
      </c>
      <c r="B1" s="1" t="s">
        <v>109</v>
      </c>
    </row>
    <row r="2" spans="1:2" x14ac:dyDescent="0.25">
      <c r="A2" t="s">
        <v>1</v>
      </c>
      <c r="B2">
        <v>14.924300000000001</v>
      </c>
    </row>
    <row r="3" spans="1:2" x14ac:dyDescent="0.25">
      <c r="A3" t="s">
        <v>2</v>
      </c>
      <c r="B3">
        <v>3.7938999999999998</v>
      </c>
    </row>
    <row r="4" spans="1:2" x14ac:dyDescent="0.25">
      <c r="A4" t="s">
        <v>67</v>
      </c>
      <c r="B4">
        <v>0.48010000000000003</v>
      </c>
    </row>
    <row r="5" spans="1:2" x14ac:dyDescent="0.25">
      <c r="A5" t="s">
        <v>67</v>
      </c>
      <c r="B5">
        <v>0.29380000000000001</v>
      </c>
    </row>
    <row r="6" spans="1:2" x14ac:dyDescent="0.25">
      <c r="A6" t="s">
        <v>67</v>
      </c>
      <c r="B6">
        <v>-3.2978000000000001</v>
      </c>
    </row>
    <row r="7" spans="1:2" x14ac:dyDescent="0.25">
      <c r="A7" t="s">
        <v>40</v>
      </c>
      <c r="B7">
        <v>-1.2796000000000001</v>
      </c>
    </row>
    <row r="8" spans="1:2" x14ac:dyDescent="0.25">
      <c r="A8" t="s">
        <v>41</v>
      </c>
      <c r="B8">
        <v>3.25</v>
      </c>
    </row>
    <row r="9" spans="1:2" x14ac:dyDescent="0.25">
      <c r="A9" t="s">
        <v>42</v>
      </c>
      <c r="B9">
        <v>0.29380000000000001</v>
      </c>
    </row>
    <row r="10" spans="1:2" x14ac:dyDescent="0.25">
      <c r="A10" t="s">
        <v>98</v>
      </c>
      <c r="B10">
        <v>4.6698000000000004</v>
      </c>
    </row>
    <row r="11" spans="1:2" x14ac:dyDescent="0.25">
      <c r="A11" t="s">
        <v>99</v>
      </c>
      <c r="B11">
        <v>2.9239999999999999</v>
      </c>
    </row>
    <row r="12" spans="1:2" x14ac:dyDescent="0.25">
      <c r="A12" t="s">
        <v>100</v>
      </c>
      <c r="B12">
        <v>3.57</v>
      </c>
    </row>
    <row r="14" spans="1:2" x14ac:dyDescent="0.25">
      <c r="A14" s="1" t="s">
        <v>101</v>
      </c>
      <c r="B14" s="1" t="s">
        <v>109</v>
      </c>
    </row>
    <row r="15" spans="1:2" x14ac:dyDescent="0.25">
      <c r="A15" t="s">
        <v>1</v>
      </c>
      <c r="B15">
        <v>0.98080000000000001</v>
      </c>
    </row>
    <row r="16" spans="1:2" x14ac:dyDescent="0.25">
      <c r="A16" t="s">
        <v>2</v>
      </c>
      <c r="B16">
        <v>0.73509999999999998</v>
      </c>
    </row>
    <row r="17" spans="1:2" x14ac:dyDescent="0.25">
      <c r="A17" t="s">
        <v>67</v>
      </c>
      <c r="B17">
        <v>-2.7921999999999998</v>
      </c>
    </row>
    <row r="18" spans="1:2" x14ac:dyDescent="0.25">
      <c r="A18" t="s">
        <v>67</v>
      </c>
      <c r="B18">
        <v>0.29380000000000001</v>
      </c>
    </row>
    <row r="19" spans="1:2" x14ac:dyDescent="0.25">
      <c r="A19" t="s">
        <v>67</v>
      </c>
      <c r="B19">
        <v>-5.1647999999999996</v>
      </c>
    </row>
    <row r="20" spans="1:2" x14ac:dyDescent="0.25">
      <c r="A20" t="s">
        <v>40</v>
      </c>
      <c r="B20">
        <v>-1.2796000000000001</v>
      </c>
    </row>
    <row r="21" spans="1:2" x14ac:dyDescent="0.25">
      <c r="A21" t="s">
        <v>41</v>
      </c>
      <c r="B21">
        <v>3.25</v>
      </c>
    </row>
    <row r="22" spans="1:2" x14ac:dyDescent="0.25">
      <c r="A22" t="s">
        <v>42</v>
      </c>
      <c r="B22">
        <v>0.29380000000000001</v>
      </c>
    </row>
    <row r="23" spans="1:2" x14ac:dyDescent="0.25">
      <c r="A23" t="s">
        <v>98</v>
      </c>
      <c r="B23">
        <v>1.335</v>
      </c>
    </row>
    <row r="24" spans="1:2" x14ac:dyDescent="0.25">
      <c r="A24" t="s">
        <v>99</v>
      </c>
      <c r="B24">
        <v>1.8176000000000001</v>
      </c>
    </row>
    <row r="25" spans="1:2" x14ac:dyDescent="0.25">
      <c r="A25" t="s">
        <v>102</v>
      </c>
      <c r="B25">
        <v>2.8260000000000001</v>
      </c>
    </row>
    <row r="27" spans="1:2" x14ac:dyDescent="0.25">
      <c r="A27" s="1" t="s">
        <v>103</v>
      </c>
      <c r="B27" s="1" t="s">
        <v>109</v>
      </c>
    </row>
    <row r="28" spans="1:2" x14ac:dyDescent="0.25">
      <c r="A28" t="s">
        <v>1</v>
      </c>
      <c r="B28">
        <v>2.5268999999999999</v>
      </c>
    </row>
    <row r="29" spans="1:2" x14ac:dyDescent="0.25">
      <c r="A29" t="s">
        <v>2</v>
      </c>
      <c r="B29">
        <v>1.1072</v>
      </c>
    </row>
    <row r="30" spans="1:2" x14ac:dyDescent="0.25">
      <c r="A30" t="s">
        <v>67</v>
      </c>
      <c r="B30">
        <v>-3.0154000000000001</v>
      </c>
    </row>
    <row r="31" spans="1:2" x14ac:dyDescent="0.25">
      <c r="A31" t="s">
        <v>67</v>
      </c>
      <c r="B31">
        <v>0.29380000000000001</v>
      </c>
    </row>
    <row r="32" spans="1:2" x14ac:dyDescent="0.25">
      <c r="A32" t="s">
        <v>67</v>
      </c>
      <c r="B32">
        <v>-3.4693000000000001</v>
      </c>
    </row>
    <row r="33" spans="1:2" x14ac:dyDescent="0.25">
      <c r="A33" t="s">
        <v>40</v>
      </c>
      <c r="B33">
        <v>-1.2796000000000001</v>
      </c>
    </row>
    <row r="34" spans="1:2" x14ac:dyDescent="0.25">
      <c r="A34" t="s">
        <v>41</v>
      </c>
      <c r="B34">
        <v>3.25</v>
      </c>
    </row>
    <row r="35" spans="1:2" x14ac:dyDescent="0.25">
      <c r="A35" t="s">
        <v>42</v>
      </c>
      <c r="B35">
        <v>0.29380000000000001</v>
      </c>
    </row>
    <row r="36" spans="1:2" x14ac:dyDescent="0.25">
      <c r="A36" t="s">
        <v>98</v>
      </c>
      <c r="B36">
        <v>2.5089999999999999</v>
      </c>
    </row>
    <row r="37" spans="1:2" x14ac:dyDescent="0.25">
      <c r="A37" t="s">
        <v>99</v>
      </c>
      <c r="B37">
        <v>2.4908999999999999</v>
      </c>
    </row>
    <row r="38" spans="1:2" x14ac:dyDescent="0.25">
      <c r="A38" t="s">
        <v>104</v>
      </c>
      <c r="B38">
        <v>3.3210000000000002</v>
      </c>
    </row>
    <row r="40" spans="1:2" x14ac:dyDescent="0.25">
      <c r="A40" s="1" t="s">
        <v>105</v>
      </c>
      <c r="B40" s="1" t="s">
        <v>109</v>
      </c>
    </row>
    <row r="41" spans="1:2" x14ac:dyDescent="0.25">
      <c r="A41" t="s">
        <v>1</v>
      </c>
      <c r="B41">
        <v>2.1602999999999999</v>
      </c>
    </row>
    <row r="42" spans="1:2" x14ac:dyDescent="0.25">
      <c r="A42" t="s">
        <v>2</v>
      </c>
      <c r="B42">
        <v>0.505</v>
      </c>
    </row>
    <row r="43" spans="1:2" x14ac:dyDescent="0.25">
      <c r="A43" t="s">
        <v>67</v>
      </c>
      <c r="B43">
        <v>0.71499999999999997</v>
      </c>
    </row>
    <row r="44" spans="1:2" x14ac:dyDescent="0.25">
      <c r="A44" t="s">
        <v>67</v>
      </c>
    </row>
    <row r="45" spans="1:2" x14ac:dyDescent="0.25">
      <c r="A45" t="s">
        <v>67</v>
      </c>
      <c r="B45">
        <v>-4.4123000000000001</v>
      </c>
    </row>
    <row r="46" spans="1:2" x14ac:dyDescent="0.25">
      <c r="A46" t="s">
        <v>40</v>
      </c>
      <c r="B46">
        <v>-1.2911999999999999</v>
      </c>
    </row>
    <row r="47" spans="1:2" x14ac:dyDescent="0.25">
      <c r="A47" t="s">
        <v>41</v>
      </c>
      <c r="B47">
        <v>3.25</v>
      </c>
    </row>
    <row r="48" spans="1:2" x14ac:dyDescent="0.25">
      <c r="A48" t="s">
        <v>42</v>
      </c>
      <c r="B48">
        <v>0.29380000000000001</v>
      </c>
    </row>
    <row r="49" spans="1:2" x14ac:dyDescent="0.25">
      <c r="A49" t="s">
        <v>98</v>
      </c>
      <c r="B49">
        <v>4.2637999999999998</v>
      </c>
    </row>
    <row r="50" spans="1:2" x14ac:dyDescent="0.25">
      <c r="A50" t="s">
        <v>99</v>
      </c>
      <c r="B50">
        <v>8.4130000000000003</v>
      </c>
    </row>
    <row r="51" spans="1:2" x14ac:dyDescent="0.25">
      <c r="A51" t="s">
        <v>104</v>
      </c>
      <c r="B51">
        <v>4.9737</v>
      </c>
    </row>
    <row r="53" spans="1:2" x14ac:dyDescent="0.25">
      <c r="A53" s="1" t="s">
        <v>106</v>
      </c>
      <c r="B53" s="1" t="s">
        <v>109</v>
      </c>
    </row>
    <row r="54" spans="1:2" x14ac:dyDescent="0.25">
      <c r="A54" t="s">
        <v>1</v>
      </c>
      <c r="B54">
        <v>6.3440000000000003</v>
      </c>
    </row>
    <row r="55" spans="1:2" x14ac:dyDescent="0.25">
      <c r="A55" t="s">
        <v>2</v>
      </c>
      <c r="B55">
        <v>2.7787000000000002</v>
      </c>
    </row>
    <row r="56" spans="1:2" x14ac:dyDescent="0.25">
      <c r="A56" t="s">
        <v>67</v>
      </c>
      <c r="B56">
        <v>-5.056</v>
      </c>
    </row>
    <row r="57" spans="1:2" x14ac:dyDescent="0.25">
      <c r="A57" t="s">
        <v>67</v>
      </c>
    </row>
    <row r="58" spans="1:2" x14ac:dyDescent="0.25">
      <c r="A58" t="s">
        <v>67</v>
      </c>
      <c r="B58">
        <v>-2.8881999999999999</v>
      </c>
    </row>
    <row r="59" spans="1:2" x14ac:dyDescent="0.25">
      <c r="A59" t="s">
        <v>40</v>
      </c>
      <c r="B59">
        <v>0</v>
      </c>
    </row>
    <row r="60" spans="1:2" x14ac:dyDescent="0.25">
      <c r="A60" t="s">
        <v>41</v>
      </c>
      <c r="B60">
        <v>0</v>
      </c>
    </row>
    <row r="61" spans="1:2" x14ac:dyDescent="0.25">
      <c r="A61" t="s">
        <v>42</v>
      </c>
      <c r="B61">
        <v>0.29380000000000001</v>
      </c>
    </row>
    <row r="62" spans="1:2" x14ac:dyDescent="0.25">
      <c r="A62" t="s">
        <v>98</v>
      </c>
      <c r="B62">
        <v>2.5034999999999998</v>
      </c>
    </row>
    <row r="63" spans="1:2" x14ac:dyDescent="0.25">
      <c r="A63" t="s">
        <v>99</v>
      </c>
      <c r="B63">
        <v>0.97009999999999996</v>
      </c>
    </row>
    <row r="64" spans="1:2" x14ac:dyDescent="0.25">
      <c r="A64" t="s">
        <v>104</v>
      </c>
      <c r="B64">
        <v>1.9119999999999999</v>
      </c>
    </row>
    <row r="66" spans="1:3" x14ac:dyDescent="0.25">
      <c r="A66" s="1" t="s">
        <v>108</v>
      </c>
      <c r="B66" s="1" t="s">
        <v>109</v>
      </c>
      <c r="C66" s="1" t="s">
        <v>110</v>
      </c>
    </row>
    <row r="67" spans="1:3" x14ac:dyDescent="0.25">
      <c r="A67" t="s">
        <v>1</v>
      </c>
      <c r="B67">
        <v>6.3189700000000002</v>
      </c>
      <c r="C67">
        <v>5.5502000000000002</v>
      </c>
    </row>
    <row r="68" spans="1:3" x14ac:dyDescent="0.25">
      <c r="A68" t="s">
        <v>2</v>
      </c>
      <c r="B68">
        <v>2.4845100000000002</v>
      </c>
    </row>
    <row r="69" spans="1:3" x14ac:dyDescent="0.25">
      <c r="A69" t="s">
        <v>67</v>
      </c>
      <c r="B69">
        <v>-2.42848</v>
      </c>
    </row>
    <row r="70" spans="1:3" x14ac:dyDescent="0.25">
      <c r="A70" t="s">
        <v>67</v>
      </c>
      <c r="B70">
        <v>1.08456</v>
      </c>
    </row>
    <row r="71" spans="1:3" x14ac:dyDescent="0.25">
      <c r="A71" t="s">
        <v>67</v>
      </c>
      <c r="B71">
        <v>-1.8784099999999999</v>
      </c>
    </row>
    <row r="72" spans="1:3" x14ac:dyDescent="0.25">
      <c r="A72" t="s">
        <v>40</v>
      </c>
      <c r="B72">
        <v>0</v>
      </c>
    </row>
    <row r="73" spans="1:3" x14ac:dyDescent="0.25">
      <c r="A73" t="s">
        <v>41</v>
      </c>
      <c r="B73">
        <v>0</v>
      </c>
    </row>
    <row r="74" spans="1:3" x14ac:dyDescent="0.25">
      <c r="A74" t="s">
        <v>42</v>
      </c>
      <c r="B74">
        <v>0</v>
      </c>
    </row>
    <row r="75" spans="1:3" x14ac:dyDescent="0.25">
      <c r="A75" t="s">
        <v>98</v>
      </c>
      <c r="B75">
        <v>3.1833999999999998</v>
      </c>
      <c r="C75">
        <v>2.794</v>
      </c>
    </row>
    <row r="76" spans="1:3" x14ac:dyDescent="0.25">
      <c r="A76" t="s">
        <v>99</v>
      </c>
      <c r="B76">
        <v>1.6028</v>
      </c>
      <c r="C76">
        <v>1.4067000000000001</v>
      </c>
    </row>
    <row r="77" spans="1:3" x14ac:dyDescent="0.25">
      <c r="A77" t="s">
        <v>104</v>
      </c>
      <c r="B77">
        <v>2.2069999999999999</v>
      </c>
      <c r="C77">
        <v>1.9894000000000001</v>
      </c>
    </row>
    <row r="79" spans="1:3" x14ac:dyDescent="0.25">
      <c r="A79" s="1" t="s">
        <v>107</v>
      </c>
      <c r="B79" s="1" t="s">
        <v>109</v>
      </c>
      <c r="C79" s="1" t="s">
        <v>110</v>
      </c>
    </row>
    <row r="80" spans="1:3" x14ac:dyDescent="0.25">
      <c r="A80" t="s">
        <v>1</v>
      </c>
      <c r="B80">
        <v>2.5777999999999999</v>
      </c>
      <c r="C80">
        <v>2.2658999999999998</v>
      </c>
    </row>
    <row r="81" spans="1:3" x14ac:dyDescent="0.25">
      <c r="A81" t="s">
        <v>2</v>
      </c>
      <c r="B81">
        <v>0.90859999999999996</v>
      </c>
    </row>
    <row r="82" spans="1:3" x14ac:dyDescent="0.25">
      <c r="A82" t="s">
        <v>67</v>
      </c>
      <c r="B82">
        <v>-4.4507000000000003</v>
      </c>
    </row>
    <row r="83" spans="1:3" x14ac:dyDescent="0.25">
      <c r="A83" t="s">
        <v>67</v>
      </c>
      <c r="B83">
        <v>1.9174</v>
      </c>
    </row>
    <row r="84" spans="1:3" x14ac:dyDescent="0.25">
      <c r="A84" t="s">
        <v>67</v>
      </c>
      <c r="B84">
        <v>-2.3325</v>
      </c>
    </row>
    <row r="85" spans="1:3" x14ac:dyDescent="0.25">
      <c r="A85" t="s">
        <v>40</v>
      </c>
      <c r="B85">
        <v>0</v>
      </c>
    </row>
    <row r="86" spans="1:3" x14ac:dyDescent="0.25">
      <c r="A86" t="s">
        <v>41</v>
      </c>
      <c r="B86">
        <v>0</v>
      </c>
    </row>
    <row r="87" spans="1:3" x14ac:dyDescent="0.25">
      <c r="A87" t="s">
        <v>42</v>
      </c>
      <c r="B87">
        <v>0</v>
      </c>
    </row>
    <row r="88" spans="1:3" x14ac:dyDescent="0.25">
      <c r="A88" t="s">
        <v>98</v>
      </c>
      <c r="B88">
        <v>3.1080000000000001</v>
      </c>
      <c r="C88">
        <v>2.4918999999999998</v>
      </c>
    </row>
    <row r="89" spans="1:3" x14ac:dyDescent="0.25">
      <c r="A89" t="s">
        <v>99</v>
      </c>
      <c r="B89">
        <v>3.1269</v>
      </c>
      <c r="C89">
        <v>2.7418999999999998</v>
      </c>
    </row>
    <row r="90" spans="1:3" x14ac:dyDescent="0.25">
      <c r="A90" t="s">
        <v>104</v>
      </c>
      <c r="B90">
        <v>3.4398</v>
      </c>
      <c r="C90">
        <v>3.194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BodyPointCoordinates</vt:lpstr>
      <vt:lpstr>AVL Panel Data</vt:lpstr>
      <vt:lpstr>AVL Export Data</vt:lpstr>
      <vt:lpstr>Surface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kdzhou</dc:creator>
  <cp:lastModifiedBy>Jo, Daniel K</cp:lastModifiedBy>
  <dcterms:created xsi:type="dcterms:W3CDTF">2015-06-05T18:17:20Z</dcterms:created>
  <dcterms:modified xsi:type="dcterms:W3CDTF">2025-08-02T14:44:07Z</dcterms:modified>
</cp:coreProperties>
</file>